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482 Term Project Data/"/>
    </mc:Choice>
  </mc:AlternateContent>
  <xr:revisionPtr revIDLastSave="36" documentId="8_{45D25757-1F6F-8D42-BB59-AB9283ECCD1A}" xr6:coauthVersionLast="47" xr6:coauthVersionMax="47" xr10:uidLastSave="{C45DC1E3-0DB0-064F-8902-94F5A7100769}"/>
  <bookViews>
    <workbookView xWindow="19180" yWindow="780" windowWidth="19220" windowHeight="22480" xr2:uid="{DB597B26-18AE-634C-8BC4-6ED86373D478}"/>
  </bookViews>
  <sheets>
    <sheet name="Sheet2" sheetId="2" r:id="rId1"/>
    <sheet name="Regression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" i="2"/>
  <c r="R7" i="2"/>
  <c r="R8" i="2"/>
  <c r="R9" i="2"/>
  <c r="R10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4" i="2"/>
</calcChain>
</file>

<file path=xl/sharedStrings.xml><?xml version="1.0" encoding="utf-8"?>
<sst xmlns="http://schemas.openxmlformats.org/spreadsheetml/2006/main" count="424" uniqueCount="169">
  <si>
    <t>Age</t>
  </si>
  <si>
    <t>Pos</t>
  </si>
  <si>
    <t>Cap Hit</t>
  </si>
  <si>
    <t>Expiry Year</t>
  </si>
  <si>
    <t>Expiry Status</t>
  </si>
  <si>
    <t>GP</t>
  </si>
  <si>
    <t>SV%</t>
  </si>
  <si>
    <t>GAA</t>
  </si>
  <si>
    <t>SO</t>
  </si>
  <si>
    <t>W</t>
  </si>
  <si>
    <t>$/W</t>
  </si>
  <si>
    <t>GSAX</t>
  </si>
  <si>
    <t>GSAX60</t>
  </si>
  <si>
    <t>G</t>
  </si>
  <si>
    <t>UFA</t>
  </si>
  <si>
    <t>2025-26</t>
  </si>
  <si>
    <t>Bobrovsky, Sergei</t>
  </si>
  <si>
    <t>$303k</t>
  </si>
  <si>
    <t>Vasilevskiy, Andrei</t>
  </si>
  <si>
    <t>RFA+ARB</t>
  </si>
  <si>
    <t>2027-28</t>
  </si>
  <si>
    <t>$250k</t>
  </si>
  <si>
    <t>Hellebuyck, Connor</t>
  </si>
  <si>
    <t>2024-25</t>
  </si>
  <si>
    <t>2030-31</t>
  </si>
  <si>
    <t>$181k</t>
  </si>
  <si>
    <t>Swayman, Jeremy</t>
  </si>
  <si>
    <t>2031-32</t>
  </si>
  <si>
    <t>$375k</t>
  </si>
  <si>
    <t>Sorokin, Ilya</t>
  </si>
  <si>
    <t>$275k</t>
  </si>
  <si>
    <t>Gibson, John</t>
  </si>
  <si>
    <t>2026-27</t>
  </si>
  <si>
    <t>$582k</t>
  </si>
  <si>
    <t>Markstrom, Jacob</t>
  </si>
  <si>
    <t>$231k</t>
  </si>
  <si>
    <t>Binnington, Jordan</t>
  </si>
  <si>
    <t>$214k</t>
  </si>
  <si>
    <t>Grubauer, Philipp</t>
  </si>
  <si>
    <t>$738k</t>
  </si>
  <si>
    <t>Shesterkin, Igor</t>
  </si>
  <si>
    <t>$210k</t>
  </si>
  <si>
    <t>Merzlikins, Elvis</t>
  </si>
  <si>
    <t>$208k</t>
  </si>
  <si>
    <t>Jarry, Tristan</t>
  </si>
  <si>
    <t>$336k</t>
  </si>
  <si>
    <t>Kuemper, Darcy</t>
  </si>
  <si>
    <t>$169k</t>
  </si>
  <si>
    <t>Demko, Thatcher</t>
  </si>
  <si>
    <t>$500k</t>
  </si>
  <si>
    <t>Saros, Juuse</t>
  </si>
  <si>
    <t>Ullmark, Linus</t>
  </si>
  <si>
    <t>$200k</t>
  </si>
  <si>
    <t>Hill, Adin</t>
  </si>
  <si>
    <t>$153k</t>
  </si>
  <si>
    <t>Luukkonen, Ukko-Pekka</t>
  </si>
  <si>
    <t>2028-29</t>
  </si>
  <si>
    <t>$198k</t>
  </si>
  <si>
    <t>Knight, Spencer</t>
  </si>
  <si>
    <t>$265k</t>
  </si>
  <si>
    <t>Mrazek, Petr</t>
  </si>
  <si>
    <t>$354k</t>
  </si>
  <si>
    <t>Oettinger, Jake</t>
  </si>
  <si>
    <t>$111k</t>
  </si>
  <si>
    <t>Korpisalo, Joonas</t>
  </si>
  <si>
    <t>$364k</t>
  </si>
  <si>
    <t>Allen, Jake</t>
  </si>
  <si>
    <t>$296k</t>
  </si>
  <si>
    <t>Gustavsson, Filip</t>
  </si>
  <si>
    <t>$121k</t>
  </si>
  <si>
    <t>Andersen, Frederik</t>
  </si>
  <si>
    <t>$262k</t>
  </si>
  <si>
    <t>Vanecek, Vitek</t>
  </si>
  <si>
    <t>$680k</t>
  </si>
  <si>
    <t>Montembeault, Sam</t>
  </si>
  <si>
    <t>$102k</t>
  </si>
  <si>
    <t>Forsberg, Anton</t>
  </si>
  <si>
    <t>Vejmelka, Karel</t>
  </si>
  <si>
    <t>$105k</t>
  </si>
  <si>
    <t>Skinner, Stuart</t>
  </si>
  <si>
    <t>$100k</t>
  </si>
  <si>
    <t>Nedeljkovic, Alex</t>
  </si>
  <si>
    <t>$179k</t>
  </si>
  <si>
    <t>Fleury, Marc-Andre</t>
  </si>
  <si>
    <t>Talbot, Cam</t>
  </si>
  <si>
    <t>$119k</t>
  </si>
  <si>
    <t>Stolarz, Anthony</t>
  </si>
  <si>
    <t>Blackwood, MacKenzie</t>
  </si>
  <si>
    <t>UFA no QO</t>
  </si>
  <si>
    <t>$84k</t>
  </si>
  <si>
    <t>Vladar, Dan</t>
  </si>
  <si>
    <t>$183k</t>
  </si>
  <si>
    <t>Kochetkov, Pyotr</t>
  </si>
  <si>
    <t>$74k</t>
  </si>
  <si>
    <t>Ingram, Connor</t>
  </si>
  <si>
    <t>$217k</t>
  </si>
  <si>
    <t>Samsonov, Ilya</t>
  </si>
  <si>
    <t>$113k</t>
  </si>
  <si>
    <t>Wedgewood, Scott</t>
  </si>
  <si>
    <t>$107k</t>
  </si>
  <si>
    <t>Ersson, Samuel</t>
  </si>
  <si>
    <t>$66k</t>
  </si>
  <si>
    <t>Quick, Jonathan</t>
  </si>
  <si>
    <t>$116k</t>
  </si>
  <si>
    <t>Daccord, Joey</t>
  </si>
  <si>
    <t>$44k</t>
  </si>
  <si>
    <t>Lindgren, Charlie</t>
  </si>
  <si>
    <t>$55k</t>
  </si>
  <si>
    <t>Tarasov, Daniil</t>
  </si>
  <si>
    <t>$150k</t>
  </si>
  <si>
    <t>Rittich, David</t>
  </si>
  <si>
    <t>$63k</t>
  </si>
  <si>
    <t>Reimer, James</t>
  </si>
  <si>
    <t>DeSmith, Casey</t>
  </si>
  <si>
    <t>$71k</t>
  </si>
  <si>
    <t>Soderblom, Arvid</t>
  </si>
  <si>
    <t>$96k</t>
  </si>
  <si>
    <t>Lyon, Alex</t>
  </si>
  <si>
    <t>$64k</t>
  </si>
  <si>
    <t>Lankinen, Kevin</t>
  </si>
  <si>
    <t>$35k</t>
  </si>
  <si>
    <t>Wolf, Dustin</t>
  </si>
  <si>
    <t>$29k</t>
  </si>
  <si>
    <t>Annunen, Justus</t>
  </si>
  <si>
    <t>$56k</t>
  </si>
  <si>
    <t>Comrie, Eric</t>
  </si>
  <si>
    <t>$92k</t>
  </si>
  <si>
    <t>Dostal, Lukas</t>
  </si>
  <si>
    <t>Hofer, Joel</t>
  </si>
  <si>
    <t>$48k</t>
  </si>
  <si>
    <t>Thompson, Logan</t>
  </si>
  <si>
    <t>$25k</t>
  </si>
  <si>
    <t>Woll, Joseph</t>
  </si>
  <si>
    <t>$28k</t>
  </si>
  <si>
    <t>Team</t>
  </si>
  <si>
    <t>TOR</t>
  </si>
  <si>
    <t>WPG</t>
  </si>
  <si>
    <t>LAK</t>
  </si>
  <si>
    <t>TBL</t>
  </si>
  <si>
    <t>DAL</t>
  </si>
  <si>
    <t>MIN</t>
  </si>
  <si>
    <t>ANA</t>
  </si>
  <si>
    <t>WSH</t>
  </si>
  <si>
    <t>OTT</t>
  </si>
  <si>
    <t>CGY</t>
  </si>
  <si>
    <t>NYI</t>
  </si>
  <si>
    <t>VGK</t>
  </si>
  <si>
    <t>SEA</t>
  </si>
  <si>
    <t>FLA</t>
  </si>
  <si>
    <t>NYR</t>
  </si>
  <si>
    <t>UTA</t>
  </si>
  <si>
    <t>STL</t>
  </si>
  <si>
    <t>VAN</t>
  </si>
  <si>
    <t>MTL</t>
  </si>
  <si>
    <t>DET</t>
  </si>
  <si>
    <t>EDM</t>
  </si>
  <si>
    <t>CAR</t>
  </si>
  <si>
    <t>CHI</t>
  </si>
  <si>
    <t>NSH</t>
  </si>
  <si>
    <t>PIT</t>
  </si>
  <si>
    <t>BOS</t>
  </si>
  <si>
    <t>CBJ</t>
  </si>
  <si>
    <t>BUF</t>
  </si>
  <si>
    <t>PHI</t>
  </si>
  <si>
    <t>COL</t>
  </si>
  <si>
    <t>NJ</t>
  </si>
  <si>
    <t>SJS</t>
  </si>
  <si>
    <t>Player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</si>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</sst>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6" fontId="0" fillId="0" borderId="0" xfId="0" applyNumberFormat="1"/>
    <xf numFmtId="0" fontId="0" fillId="0" borderId="1" xfId="0" applyBorder="1"/>
    <xf numFmtId="8" fontId="0" fillId="0" borderId="0" xfId="0" applyNumberFormat="1"/>
    <xf numFmtId="0" fontId="1" fillId="0" borderId="0" xfId="0" applyFont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ckpedia.com/player/jake-oettinger" TargetMode="External"/><Relationship Id="rId18" Type="http://schemas.openxmlformats.org/officeDocument/2006/relationships/hyperlink" Target="https://puckpedia.com/player/joel-daccord" TargetMode="External"/><Relationship Id="rId26" Type="http://schemas.openxmlformats.org/officeDocument/2006/relationships/hyperlink" Target="https://puckpedia.com/player/kevin-lankinen" TargetMode="External"/><Relationship Id="rId39" Type="http://schemas.openxmlformats.org/officeDocument/2006/relationships/hyperlink" Target="https://puckpedia.com/player/alex-lyon" TargetMode="External"/><Relationship Id="rId21" Type="http://schemas.openxmlformats.org/officeDocument/2006/relationships/hyperlink" Target="https://puckpedia.com/player/igor-shesterkin" TargetMode="External"/><Relationship Id="rId34" Type="http://schemas.openxmlformats.org/officeDocument/2006/relationships/hyperlink" Target="https://puckpedia.com/player/pyotr-kochetkov" TargetMode="External"/><Relationship Id="rId42" Type="http://schemas.openxmlformats.org/officeDocument/2006/relationships/hyperlink" Target="https://puckpedia.com/player/alex-nedeljkovic" TargetMode="External"/><Relationship Id="rId47" Type="http://schemas.openxmlformats.org/officeDocument/2006/relationships/hyperlink" Target="https://puckpedia.com/player/jeremy-swayman" TargetMode="External"/><Relationship Id="rId50" Type="http://schemas.openxmlformats.org/officeDocument/2006/relationships/hyperlink" Target="https://puckpedia.com/player/thatcher-demko" TargetMode="External"/><Relationship Id="rId55" Type="http://schemas.openxmlformats.org/officeDocument/2006/relationships/hyperlink" Target="https://puckpedia.com/player/samuel-ersson" TargetMode="External"/><Relationship Id="rId7" Type="http://schemas.openxmlformats.org/officeDocument/2006/relationships/hyperlink" Target="https://puckpedia.com/player/filip-gustavsson" TargetMode="External"/><Relationship Id="rId2" Type="http://schemas.openxmlformats.org/officeDocument/2006/relationships/hyperlink" Target="https://puckpedia.com/player/connor-hellebuyck" TargetMode="External"/><Relationship Id="rId16" Type="http://schemas.openxmlformats.org/officeDocument/2006/relationships/hyperlink" Target="https://puckpedia.com/player/scott-wedgewood" TargetMode="External"/><Relationship Id="rId29" Type="http://schemas.openxmlformats.org/officeDocument/2006/relationships/hyperlink" Target="https://puckpedia.com/player/cam-talbot" TargetMode="External"/><Relationship Id="rId11" Type="http://schemas.openxmlformats.org/officeDocument/2006/relationships/hyperlink" Target="https://puckpedia.com/player/linus-ullmark" TargetMode="External"/><Relationship Id="rId24" Type="http://schemas.openxmlformats.org/officeDocument/2006/relationships/hyperlink" Target="https://puckpedia.com/player/lukas-dostal" TargetMode="External"/><Relationship Id="rId32" Type="http://schemas.openxmlformats.org/officeDocument/2006/relationships/hyperlink" Target="https://puckpedia.com/player/marc-andre-fleury" TargetMode="External"/><Relationship Id="rId37" Type="http://schemas.openxmlformats.org/officeDocument/2006/relationships/hyperlink" Target="https://puckpedia.com/player/james-reimer" TargetMode="External"/><Relationship Id="rId40" Type="http://schemas.openxmlformats.org/officeDocument/2006/relationships/hyperlink" Target="https://puckpedia.com/player/juuse-saros" TargetMode="External"/><Relationship Id="rId45" Type="http://schemas.openxmlformats.org/officeDocument/2006/relationships/hyperlink" Target="https://puckpedia.com/player/jonathan-quick" TargetMode="External"/><Relationship Id="rId53" Type="http://schemas.openxmlformats.org/officeDocument/2006/relationships/hyperlink" Target="https://puckpedia.com/player/vitek-vanecek" TargetMode="External"/><Relationship Id="rId58" Type="http://schemas.openxmlformats.org/officeDocument/2006/relationships/hyperlink" Target="https://puckpedia.com/player/philipp-grubauer" TargetMode="External"/><Relationship Id="rId5" Type="http://schemas.openxmlformats.org/officeDocument/2006/relationships/hyperlink" Target="https://puckpedia.com/player/casey-desmith" TargetMode="External"/><Relationship Id="rId19" Type="http://schemas.openxmlformats.org/officeDocument/2006/relationships/hyperlink" Target="https://puckpedia.com/player/adin-hill" TargetMode="External"/><Relationship Id="rId4" Type="http://schemas.openxmlformats.org/officeDocument/2006/relationships/hyperlink" Target="https://puckpedia.com/player/andrei-vasilevskiy" TargetMode="External"/><Relationship Id="rId9" Type="http://schemas.openxmlformats.org/officeDocument/2006/relationships/hyperlink" Target="https://puckpedia.com/player/john-gibson" TargetMode="External"/><Relationship Id="rId14" Type="http://schemas.openxmlformats.org/officeDocument/2006/relationships/hyperlink" Target="https://puckpedia.com/player/joseph-woll" TargetMode="External"/><Relationship Id="rId22" Type="http://schemas.openxmlformats.org/officeDocument/2006/relationships/hyperlink" Target="https://puckpedia.com/player/joel-hofer" TargetMode="External"/><Relationship Id="rId27" Type="http://schemas.openxmlformats.org/officeDocument/2006/relationships/hyperlink" Target="https://puckpedia.com/player/sam-montembeault" TargetMode="External"/><Relationship Id="rId30" Type="http://schemas.openxmlformats.org/officeDocument/2006/relationships/hyperlink" Target="https://puckpedia.com/player/jordan-binnington" TargetMode="External"/><Relationship Id="rId35" Type="http://schemas.openxmlformats.org/officeDocument/2006/relationships/hyperlink" Target="https://puckpedia.com/player/arvid-soderblom" TargetMode="External"/><Relationship Id="rId43" Type="http://schemas.openxmlformats.org/officeDocument/2006/relationships/hyperlink" Target="https://puckpedia.com/player/tristan-jarry" TargetMode="External"/><Relationship Id="rId48" Type="http://schemas.openxmlformats.org/officeDocument/2006/relationships/hyperlink" Target="https://puckpedia.com/player/petr-mrazek" TargetMode="External"/><Relationship Id="rId56" Type="http://schemas.openxmlformats.org/officeDocument/2006/relationships/hyperlink" Target="https://puckpedia.com/player/connor-ingram" TargetMode="External"/><Relationship Id="rId8" Type="http://schemas.openxmlformats.org/officeDocument/2006/relationships/hyperlink" Target="https://puckpedia.com/player/mackenzie-blackwood" TargetMode="External"/><Relationship Id="rId51" Type="http://schemas.openxmlformats.org/officeDocument/2006/relationships/hyperlink" Target="https://puckpedia.com/player/ukko-pekka-luukkonen" TargetMode="External"/><Relationship Id="rId3" Type="http://schemas.openxmlformats.org/officeDocument/2006/relationships/hyperlink" Target="https://puckpedia.com/player/darcy-kuemper" TargetMode="External"/><Relationship Id="rId12" Type="http://schemas.openxmlformats.org/officeDocument/2006/relationships/hyperlink" Target="https://puckpedia.com/player/dustin-wolf" TargetMode="External"/><Relationship Id="rId17" Type="http://schemas.openxmlformats.org/officeDocument/2006/relationships/hyperlink" Target="https://puckpedia.com/player/sergei-bobrovsky" TargetMode="External"/><Relationship Id="rId25" Type="http://schemas.openxmlformats.org/officeDocument/2006/relationships/hyperlink" Target="https://puckpedia.com/player/spencer-knight" TargetMode="External"/><Relationship Id="rId33" Type="http://schemas.openxmlformats.org/officeDocument/2006/relationships/hyperlink" Target="https://puckpedia.com/player/frederik-andersen" TargetMode="External"/><Relationship Id="rId38" Type="http://schemas.openxmlformats.org/officeDocument/2006/relationships/hyperlink" Target="https://puckpedia.com/player/charlie-lindgren" TargetMode="External"/><Relationship Id="rId46" Type="http://schemas.openxmlformats.org/officeDocument/2006/relationships/hyperlink" Target="https://puckpedia.com/player/elvis-merzlikins" TargetMode="External"/><Relationship Id="rId20" Type="http://schemas.openxmlformats.org/officeDocument/2006/relationships/hyperlink" Target="https://puckpedia.com/player/ilya-sorokin" TargetMode="External"/><Relationship Id="rId41" Type="http://schemas.openxmlformats.org/officeDocument/2006/relationships/hyperlink" Target="https://puckpedia.com/player/stuart-skinner" TargetMode="External"/><Relationship Id="rId54" Type="http://schemas.openxmlformats.org/officeDocument/2006/relationships/hyperlink" Target="https://puckpedia.com/player/justus-annunen" TargetMode="External"/><Relationship Id="rId1" Type="http://schemas.openxmlformats.org/officeDocument/2006/relationships/hyperlink" Target="https://puckpedia.com/player/anthony-stolarz" TargetMode="External"/><Relationship Id="rId6" Type="http://schemas.openxmlformats.org/officeDocument/2006/relationships/hyperlink" Target="https://puckpedia.com/player/eric-comrie" TargetMode="External"/><Relationship Id="rId15" Type="http://schemas.openxmlformats.org/officeDocument/2006/relationships/hyperlink" Target="https://puckpedia.com/player/jake-allen" TargetMode="External"/><Relationship Id="rId23" Type="http://schemas.openxmlformats.org/officeDocument/2006/relationships/hyperlink" Target="https://puckpedia.com/player/karel-vejmelka" TargetMode="External"/><Relationship Id="rId28" Type="http://schemas.openxmlformats.org/officeDocument/2006/relationships/hyperlink" Target="https://puckpedia.com/player/anton-forsberg" TargetMode="External"/><Relationship Id="rId36" Type="http://schemas.openxmlformats.org/officeDocument/2006/relationships/hyperlink" Target="https://puckpedia.com/player/dan-vladar" TargetMode="External"/><Relationship Id="rId49" Type="http://schemas.openxmlformats.org/officeDocument/2006/relationships/hyperlink" Target="https://puckpedia.com/player/ilya-samsonov" TargetMode="External"/><Relationship Id="rId57" Type="http://schemas.openxmlformats.org/officeDocument/2006/relationships/hyperlink" Target="https://puckpedia.com/player/daniil-tarasov" TargetMode="External"/><Relationship Id="rId10" Type="http://schemas.openxmlformats.org/officeDocument/2006/relationships/hyperlink" Target="https://puckpedia.com/player/logan-thompson" TargetMode="External"/><Relationship Id="rId31" Type="http://schemas.openxmlformats.org/officeDocument/2006/relationships/hyperlink" Target="https://puckpedia.com/player/jacob-markstrom" TargetMode="External"/><Relationship Id="rId44" Type="http://schemas.openxmlformats.org/officeDocument/2006/relationships/hyperlink" Target="https://puckpedia.com/player/joonas-korpisalo" TargetMode="External"/><Relationship Id="rId52" Type="http://schemas.openxmlformats.org/officeDocument/2006/relationships/hyperlink" Target="https://puckpedia.com/player/david-rittich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uckpedia.com/player/jake-oettinger" TargetMode="External"/><Relationship Id="rId18" Type="http://schemas.openxmlformats.org/officeDocument/2006/relationships/hyperlink" Target="https://puckpedia.com/player/joel-daccord" TargetMode="External"/><Relationship Id="rId26" Type="http://schemas.openxmlformats.org/officeDocument/2006/relationships/hyperlink" Target="https://puckpedia.com/player/kevin-lankinen" TargetMode="External"/><Relationship Id="rId39" Type="http://schemas.openxmlformats.org/officeDocument/2006/relationships/hyperlink" Target="https://puckpedia.com/player/alex-lyon" TargetMode="External"/><Relationship Id="rId21" Type="http://schemas.openxmlformats.org/officeDocument/2006/relationships/hyperlink" Target="https://puckpedia.com/player/igor-shesterkin" TargetMode="External"/><Relationship Id="rId34" Type="http://schemas.openxmlformats.org/officeDocument/2006/relationships/hyperlink" Target="https://puckpedia.com/player/pyotr-kochetkov" TargetMode="External"/><Relationship Id="rId42" Type="http://schemas.openxmlformats.org/officeDocument/2006/relationships/hyperlink" Target="https://puckpedia.com/player/alex-nedeljkovic" TargetMode="External"/><Relationship Id="rId47" Type="http://schemas.openxmlformats.org/officeDocument/2006/relationships/hyperlink" Target="https://puckpedia.com/player/jeremy-swayman" TargetMode="External"/><Relationship Id="rId50" Type="http://schemas.openxmlformats.org/officeDocument/2006/relationships/hyperlink" Target="https://puckpedia.com/player/thatcher-demko" TargetMode="External"/><Relationship Id="rId55" Type="http://schemas.openxmlformats.org/officeDocument/2006/relationships/hyperlink" Target="https://puckpedia.com/player/samuel-ersson" TargetMode="External"/><Relationship Id="rId7" Type="http://schemas.openxmlformats.org/officeDocument/2006/relationships/hyperlink" Target="https://puckpedia.com/player/filip-gustavsson" TargetMode="External"/><Relationship Id="rId2" Type="http://schemas.openxmlformats.org/officeDocument/2006/relationships/hyperlink" Target="https://puckpedia.com/player/connor-hellebuyck" TargetMode="External"/><Relationship Id="rId16" Type="http://schemas.openxmlformats.org/officeDocument/2006/relationships/hyperlink" Target="https://puckpedia.com/player/scott-wedgewood" TargetMode="External"/><Relationship Id="rId29" Type="http://schemas.openxmlformats.org/officeDocument/2006/relationships/hyperlink" Target="https://puckpedia.com/player/cam-talbot" TargetMode="External"/><Relationship Id="rId11" Type="http://schemas.openxmlformats.org/officeDocument/2006/relationships/hyperlink" Target="https://puckpedia.com/player/linus-ullmark" TargetMode="External"/><Relationship Id="rId24" Type="http://schemas.openxmlformats.org/officeDocument/2006/relationships/hyperlink" Target="https://puckpedia.com/player/lukas-dostal" TargetMode="External"/><Relationship Id="rId32" Type="http://schemas.openxmlformats.org/officeDocument/2006/relationships/hyperlink" Target="https://puckpedia.com/player/marc-andre-fleury" TargetMode="External"/><Relationship Id="rId37" Type="http://schemas.openxmlformats.org/officeDocument/2006/relationships/hyperlink" Target="https://puckpedia.com/player/james-reimer" TargetMode="External"/><Relationship Id="rId40" Type="http://schemas.openxmlformats.org/officeDocument/2006/relationships/hyperlink" Target="https://puckpedia.com/player/juuse-saros" TargetMode="External"/><Relationship Id="rId45" Type="http://schemas.openxmlformats.org/officeDocument/2006/relationships/hyperlink" Target="https://puckpedia.com/player/jonathan-quick" TargetMode="External"/><Relationship Id="rId53" Type="http://schemas.openxmlformats.org/officeDocument/2006/relationships/hyperlink" Target="https://puckpedia.com/player/vitek-vanecek" TargetMode="External"/><Relationship Id="rId58" Type="http://schemas.openxmlformats.org/officeDocument/2006/relationships/hyperlink" Target="https://puckpedia.com/player/philipp-grubauer" TargetMode="External"/><Relationship Id="rId5" Type="http://schemas.openxmlformats.org/officeDocument/2006/relationships/hyperlink" Target="https://puckpedia.com/player/casey-desmith" TargetMode="External"/><Relationship Id="rId19" Type="http://schemas.openxmlformats.org/officeDocument/2006/relationships/hyperlink" Target="https://puckpedia.com/player/adin-hill" TargetMode="External"/><Relationship Id="rId4" Type="http://schemas.openxmlformats.org/officeDocument/2006/relationships/hyperlink" Target="https://puckpedia.com/player/andrei-vasilevskiy" TargetMode="External"/><Relationship Id="rId9" Type="http://schemas.openxmlformats.org/officeDocument/2006/relationships/hyperlink" Target="https://puckpedia.com/player/john-gibson" TargetMode="External"/><Relationship Id="rId14" Type="http://schemas.openxmlformats.org/officeDocument/2006/relationships/hyperlink" Target="https://puckpedia.com/player/joseph-woll" TargetMode="External"/><Relationship Id="rId22" Type="http://schemas.openxmlformats.org/officeDocument/2006/relationships/hyperlink" Target="https://puckpedia.com/player/joel-hofer" TargetMode="External"/><Relationship Id="rId27" Type="http://schemas.openxmlformats.org/officeDocument/2006/relationships/hyperlink" Target="https://puckpedia.com/player/sam-montembeault" TargetMode="External"/><Relationship Id="rId30" Type="http://schemas.openxmlformats.org/officeDocument/2006/relationships/hyperlink" Target="https://puckpedia.com/player/jordan-binnington" TargetMode="External"/><Relationship Id="rId35" Type="http://schemas.openxmlformats.org/officeDocument/2006/relationships/hyperlink" Target="https://puckpedia.com/player/arvid-soderblom" TargetMode="External"/><Relationship Id="rId43" Type="http://schemas.openxmlformats.org/officeDocument/2006/relationships/hyperlink" Target="https://puckpedia.com/player/tristan-jarry" TargetMode="External"/><Relationship Id="rId48" Type="http://schemas.openxmlformats.org/officeDocument/2006/relationships/hyperlink" Target="https://puckpedia.com/player/petr-mrazek" TargetMode="External"/><Relationship Id="rId56" Type="http://schemas.openxmlformats.org/officeDocument/2006/relationships/hyperlink" Target="https://puckpedia.com/player/connor-ingram" TargetMode="External"/><Relationship Id="rId8" Type="http://schemas.openxmlformats.org/officeDocument/2006/relationships/hyperlink" Target="https://puckpedia.com/player/mackenzie-blackwood" TargetMode="External"/><Relationship Id="rId51" Type="http://schemas.openxmlformats.org/officeDocument/2006/relationships/hyperlink" Target="https://puckpedia.com/player/ukko-pekka-luukkonen" TargetMode="External"/><Relationship Id="rId3" Type="http://schemas.openxmlformats.org/officeDocument/2006/relationships/hyperlink" Target="https://puckpedia.com/player/darcy-kuemper" TargetMode="External"/><Relationship Id="rId12" Type="http://schemas.openxmlformats.org/officeDocument/2006/relationships/hyperlink" Target="https://puckpedia.com/player/dustin-wolf" TargetMode="External"/><Relationship Id="rId17" Type="http://schemas.openxmlformats.org/officeDocument/2006/relationships/hyperlink" Target="https://puckpedia.com/player/sergei-bobrovsky" TargetMode="External"/><Relationship Id="rId25" Type="http://schemas.openxmlformats.org/officeDocument/2006/relationships/hyperlink" Target="https://puckpedia.com/player/spencer-knight" TargetMode="External"/><Relationship Id="rId33" Type="http://schemas.openxmlformats.org/officeDocument/2006/relationships/hyperlink" Target="https://puckpedia.com/player/frederik-andersen" TargetMode="External"/><Relationship Id="rId38" Type="http://schemas.openxmlformats.org/officeDocument/2006/relationships/hyperlink" Target="https://puckpedia.com/player/charlie-lindgren" TargetMode="External"/><Relationship Id="rId46" Type="http://schemas.openxmlformats.org/officeDocument/2006/relationships/hyperlink" Target="https://puckpedia.com/player/elvis-merzlikins" TargetMode="External"/><Relationship Id="rId20" Type="http://schemas.openxmlformats.org/officeDocument/2006/relationships/hyperlink" Target="https://puckpedia.com/player/ilya-sorokin" TargetMode="External"/><Relationship Id="rId41" Type="http://schemas.openxmlformats.org/officeDocument/2006/relationships/hyperlink" Target="https://puckpedia.com/player/stuart-skinner" TargetMode="External"/><Relationship Id="rId54" Type="http://schemas.openxmlformats.org/officeDocument/2006/relationships/hyperlink" Target="https://puckpedia.com/player/justus-annunen" TargetMode="External"/><Relationship Id="rId1" Type="http://schemas.openxmlformats.org/officeDocument/2006/relationships/hyperlink" Target="https://puckpedia.com/player/anthony-stolarz" TargetMode="External"/><Relationship Id="rId6" Type="http://schemas.openxmlformats.org/officeDocument/2006/relationships/hyperlink" Target="https://puckpedia.com/player/eric-comrie" TargetMode="External"/><Relationship Id="rId15" Type="http://schemas.openxmlformats.org/officeDocument/2006/relationships/hyperlink" Target="https://puckpedia.com/player/jake-allen" TargetMode="External"/><Relationship Id="rId23" Type="http://schemas.openxmlformats.org/officeDocument/2006/relationships/hyperlink" Target="https://puckpedia.com/player/karel-vejmelka" TargetMode="External"/><Relationship Id="rId28" Type="http://schemas.openxmlformats.org/officeDocument/2006/relationships/hyperlink" Target="https://puckpedia.com/player/anton-forsberg" TargetMode="External"/><Relationship Id="rId36" Type="http://schemas.openxmlformats.org/officeDocument/2006/relationships/hyperlink" Target="https://puckpedia.com/player/dan-vladar" TargetMode="External"/><Relationship Id="rId49" Type="http://schemas.openxmlformats.org/officeDocument/2006/relationships/hyperlink" Target="https://puckpedia.com/player/ilya-samsonov" TargetMode="External"/><Relationship Id="rId57" Type="http://schemas.openxmlformats.org/officeDocument/2006/relationships/hyperlink" Target="https://puckpedia.com/player/daniil-tarasov" TargetMode="External"/><Relationship Id="rId10" Type="http://schemas.openxmlformats.org/officeDocument/2006/relationships/hyperlink" Target="https://puckpedia.com/player/logan-thompson" TargetMode="External"/><Relationship Id="rId31" Type="http://schemas.openxmlformats.org/officeDocument/2006/relationships/hyperlink" Target="https://puckpedia.com/player/jacob-markstrom" TargetMode="External"/><Relationship Id="rId44" Type="http://schemas.openxmlformats.org/officeDocument/2006/relationships/hyperlink" Target="https://puckpedia.com/player/joonas-korpisalo" TargetMode="External"/><Relationship Id="rId52" Type="http://schemas.openxmlformats.org/officeDocument/2006/relationships/hyperlink" Target="https://puckpedia.com/player/david-ritt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D47C-222D-CB44-8749-18E314218566}">
  <dimension ref="A1:R61"/>
  <sheetViews>
    <sheetView tabSelected="1" topLeftCell="C1" workbookViewId="0">
      <selection activeCell="A35" sqref="A35:XFD35"/>
    </sheetView>
  </sheetViews>
  <sheetFormatPr baseColWidth="10" defaultRowHeight="16" x14ac:dyDescent="0.2"/>
  <cols>
    <col min="2" max="2" width="28.5" customWidth="1"/>
    <col min="6" max="6" width="11.83203125" bestFit="1" customWidth="1"/>
    <col min="14" max="14" width="13.1640625" customWidth="1"/>
    <col min="18" max="18" width="11.83203125" bestFit="1" customWidth="1"/>
  </cols>
  <sheetData>
    <row r="1" spans="1:18" x14ac:dyDescent="0.2">
      <c r="A1" s="3"/>
      <c r="B1" s="5" t="s">
        <v>167</v>
      </c>
      <c r="C1" s="5" t="s">
        <v>134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168</v>
      </c>
      <c r="R1" s="5" t="s">
        <v>10</v>
      </c>
    </row>
    <row r="2" spans="1:18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5"/>
      <c r="O2" s="6"/>
      <c r="P2" s="6"/>
      <c r="Q2" s="6"/>
      <c r="R2" s="6"/>
    </row>
    <row r="3" spans="1:18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2">
      <c r="A4">
        <v>1</v>
      </c>
      <c r="B4" s="1" t="s">
        <v>86</v>
      </c>
      <c r="C4" t="s">
        <v>135</v>
      </c>
      <c r="D4">
        <v>32</v>
      </c>
      <c r="E4" t="s">
        <v>13</v>
      </c>
      <c r="F4" s="2">
        <v>2500000</v>
      </c>
      <c r="G4" t="s">
        <v>15</v>
      </c>
      <c r="H4" t="s">
        <v>14</v>
      </c>
      <c r="I4">
        <v>34</v>
      </c>
      <c r="J4">
        <v>0.92600000000000005</v>
      </c>
      <c r="K4">
        <v>2.14</v>
      </c>
      <c r="L4">
        <v>4</v>
      </c>
      <c r="M4">
        <v>21</v>
      </c>
      <c r="N4" t="s">
        <v>85</v>
      </c>
      <c r="O4">
        <v>25.78</v>
      </c>
      <c r="P4">
        <v>0.77</v>
      </c>
      <c r="Q4" t="str">
        <f>IF(F4&gt;7000000, "E", "T")</f>
        <v>T</v>
      </c>
      <c r="R4" s="4">
        <f t="shared" ref="R4:R35" si="0">SUBSTITUTE(SUBSTITUTE(UPPER(N4), "$", ""), "K", "") * 1000</f>
        <v>119000</v>
      </c>
    </row>
    <row r="5" spans="1:18" x14ac:dyDescent="0.2">
      <c r="A5">
        <v>2</v>
      </c>
      <c r="B5" s="1" t="s">
        <v>22</v>
      </c>
      <c r="C5" t="s">
        <v>136</v>
      </c>
      <c r="D5">
        <v>32</v>
      </c>
      <c r="E5" t="s">
        <v>13</v>
      </c>
      <c r="F5" s="2">
        <v>8500000</v>
      </c>
      <c r="G5" t="s">
        <v>24</v>
      </c>
      <c r="H5" t="s">
        <v>14</v>
      </c>
      <c r="I5">
        <v>63</v>
      </c>
      <c r="J5">
        <v>0.92500000000000004</v>
      </c>
      <c r="K5">
        <v>2</v>
      </c>
      <c r="L5">
        <v>8</v>
      </c>
      <c r="M5">
        <v>47</v>
      </c>
      <c r="N5" t="s">
        <v>25</v>
      </c>
      <c r="O5">
        <v>39.590000000000003</v>
      </c>
      <c r="P5">
        <v>0.63</v>
      </c>
      <c r="Q5" t="str">
        <f t="shared" ref="Q5:Q61" si="1">IF(F5&gt;7000000, "E", "T")</f>
        <v>E</v>
      </c>
      <c r="R5" s="4">
        <f t="shared" si="0"/>
        <v>181000</v>
      </c>
    </row>
    <row r="6" spans="1:18" x14ac:dyDescent="0.2">
      <c r="A6">
        <v>3</v>
      </c>
      <c r="B6" s="1" t="s">
        <v>46</v>
      </c>
      <c r="C6" t="s">
        <v>137</v>
      </c>
      <c r="D6">
        <v>35</v>
      </c>
      <c r="E6" t="s">
        <v>13</v>
      </c>
      <c r="F6" s="2">
        <v>5250000</v>
      </c>
      <c r="G6" t="s">
        <v>32</v>
      </c>
      <c r="H6" t="s">
        <v>14</v>
      </c>
      <c r="I6">
        <v>50</v>
      </c>
      <c r="J6">
        <v>0.92200000000000004</v>
      </c>
      <c r="K6">
        <v>2.02</v>
      </c>
      <c r="L6">
        <v>5</v>
      </c>
      <c r="M6">
        <v>31</v>
      </c>
      <c r="N6" t="s">
        <v>47</v>
      </c>
      <c r="O6">
        <v>22.51</v>
      </c>
      <c r="P6">
        <v>0.45</v>
      </c>
      <c r="Q6" t="str">
        <f t="shared" si="1"/>
        <v>T</v>
      </c>
      <c r="R6" s="4">
        <f t="shared" si="0"/>
        <v>169000</v>
      </c>
    </row>
    <row r="7" spans="1:18" x14ac:dyDescent="0.2">
      <c r="A7">
        <v>4</v>
      </c>
      <c r="B7" s="1" t="s">
        <v>18</v>
      </c>
      <c r="C7" t="s">
        <v>138</v>
      </c>
      <c r="D7">
        <v>31</v>
      </c>
      <c r="E7" t="s">
        <v>13</v>
      </c>
      <c r="F7" s="2">
        <v>9500000</v>
      </c>
      <c r="G7" t="s">
        <v>20</v>
      </c>
      <c r="H7" t="s">
        <v>14</v>
      </c>
      <c r="I7">
        <v>63</v>
      </c>
      <c r="J7">
        <v>0.92100000000000004</v>
      </c>
      <c r="K7">
        <v>2.1800000000000002</v>
      </c>
      <c r="L7">
        <v>6</v>
      </c>
      <c r="M7">
        <v>38</v>
      </c>
      <c r="N7" t="s">
        <v>21</v>
      </c>
      <c r="O7">
        <v>29.16</v>
      </c>
      <c r="P7">
        <v>0.46</v>
      </c>
      <c r="Q7" t="str">
        <f t="shared" si="1"/>
        <v>E</v>
      </c>
      <c r="R7" s="4">
        <f t="shared" si="0"/>
        <v>250000</v>
      </c>
    </row>
    <row r="8" spans="1:18" x14ac:dyDescent="0.2">
      <c r="A8">
        <v>5</v>
      </c>
      <c r="B8" s="1" t="s">
        <v>113</v>
      </c>
      <c r="C8" t="s">
        <v>139</v>
      </c>
      <c r="D8">
        <v>34</v>
      </c>
      <c r="E8" t="s">
        <v>13</v>
      </c>
      <c r="F8" s="2">
        <v>1000000</v>
      </c>
      <c r="G8" t="s">
        <v>32</v>
      </c>
      <c r="H8" t="s">
        <v>14</v>
      </c>
      <c r="I8">
        <v>27</v>
      </c>
      <c r="J8">
        <v>0.91500000000000004</v>
      </c>
      <c r="K8">
        <v>2.59</v>
      </c>
      <c r="L8">
        <v>2</v>
      </c>
      <c r="M8">
        <v>14</v>
      </c>
      <c r="N8" t="s">
        <v>114</v>
      </c>
      <c r="O8">
        <v>15.86</v>
      </c>
      <c r="P8">
        <v>0.63</v>
      </c>
      <c r="Q8" t="str">
        <f t="shared" si="1"/>
        <v>T</v>
      </c>
      <c r="R8" s="4">
        <f t="shared" si="0"/>
        <v>71000</v>
      </c>
    </row>
    <row r="9" spans="1:18" x14ac:dyDescent="0.2">
      <c r="A9">
        <v>6</v>
      </c>
      <c r="B9" s="1" t="s">
        <v>125</v>
      </c>
      <c r="C9" t="s">
        <v>136</v>
      </c>
      <c r="D9">
        <v>30</v>
      </c>
      <c r="E9" t="s">
        <v>13</v>
      </c>
      <c r="F9" s="2">
        <v>825000</v>
      </c>
      <c r="G9" t="s">
        <v>15</v>
      </c>
      <c r="H9" t="s">
        <v>14</v>
      </c>
      <c r="I9">
        <v>20</v>
      </c>
      <c r="J9">
        <v>0.91400000000000003</v>
      </c>
      <c r="K9">
        <v>2.39</v>
      </c>
      <c r="L9">
        <v>2</v>
      </c>
      <c r="M9">
        <v>9</v>
      </c>
      <c r="N9" t="s">
        <v>126</v>
      </c>
      <c r="O9">
        <v>2.4700000000000002</v>
      </c>
      <c r="P9">
        <v>0.12</v>
      </c>
      <c r="Q9" t="str">
        <f t="shared" si="1"/>
        <v>T</v>
      </c>
      <c r="R9" s="4">
        <f t="shared" si="0"/>
        <v>92000</v>
      </c>
    </row>
    <row r="10" spans="1:18" x14ac:dyDescent="0.2">
      <c r="A10">
        <v>7</v>
      </c>
      <c r="B10" s="1" t="s">
        <v>68</v>
      </c>
      <c r="C10" t="s">
        <v>140</v>
      </c>
      <c r="D10">
        <v>27</v>
      </c>
      <c r="E10" t="s">
        <v>13</v>
      </c>
      <c r="F10" s="2">
        <v>3750000</v>
      </c>
      <c r="G10" t="s">
        <v>15</v>
      </c>
      <c r="H10" t="s">
        <v>14</v>
      </c>
      <c r="I10">
        <v>58</v>
      </c>
      <c r="J10">
        <v>0.91400000000000003</v>
      </c>
      <c r="K10">
        <v>2.5499999999999998</v>
      </c>
      <c r="L10">
        <v>5</v>
      </c>
      <c r="M10">
        <v>31</v>
      </c>
      <c r="N10" t="s">
        <v>69</v>
      </c>
      <c r="O10">
        <v>15.32</v>
      </c>
      <c r="P10">
        <v>0.26</v>
      </c>
      <c r="Q10" t="str">
        <f t="shared" si="1"/>
        <v>T</v>
      </c>
      <c r="R10" s="4">
        <f t="shared" si="0"/>
        <v>121000</v>
      </c>
    </row>
    <row r="11" spans="1:18" x14ac:dyDescent="0.2">
      <c r="A11">
        <v>8</v>
      </c>
      <c r="B11" s="1" t="s">
        <v>87</v>
      </c>
      <c r="C11" t="s">
        <v>164</v>
      </c>
      <c r="D11">
        <v>29</v>
      </c>
      <c r="E11" t="s">
        <v>13</v>
      </c>
      <c r="F11" s="2">
        <v>2350000</v>
      </c>
      <c r="G11" t="s">
        <v>23</v>
      </c>
      <c r="H11" t="s">
        <v>14</v>
      </c>
      <c r="I11">
        <v>56</v>
      </c>
      <c r="J11">
        <v>0.91200000000000003</v>
      </c>
      <c r="K11">
        <v>2.5499999999999998</v>
      </c>
      <c r="L11">
        <v>4</v>
      </c>
      <c r="M11">
        <v>28</v>
      </c>
      <c r="N11" t="s">
        <v>89</v>
      </c>
      <c r="O11">
        <v>13.32</v>
      </c>
      <c r="P11">
        <v>0.24</v>
      </c>
      <c r="Q11" t="str">
        <f t="shared" si="1"/>
        <v>T</v>
      </c>
      <c r="R11" s="4">
        <f t="shared" si="0"/>
        <v>84000</v>
      </c>
    </row>
    <row r="12" spans="1:18" x14ac:dyDescent="0.2">
      <c r="A12">
        <v>9</v>
      </c>
      <c r="B12" s="1" t="s">
        <v>31</v>
      </c>
      <c r="C12" t="s">
        <v>154</v>
      </c>
      <c r="D12">
        <v>32</v>
      </c>
      <c r="E12" t="s">
        <v>13</v>
      </c>
      <c r="F12" s="2">
        <v>6400000</v>
      </c>
      <c r="G12" t="s">
        <v>32</v>
      </c>
      <c r="H12" t="s">
        <v>14</v>
      </c>
      <c r="I12">
        <v>29</v>
      </c>
      <c r="J12">
        <v>0.91200000000000003</v>
      </c>
      <c r="K12">
        <v>2.77</v>
      </c>
      <c r="L12">
        <v>0</v>
      </c>
      <c r="M12">
        <v>11</v>
      </c>
      <c r="N12" t="s">
        <v>33</v>
      </c>
      <c r="O12">
        <v>15.34</v>
      </c>
      <c r="P12">
        <v>0.57999999999999996</v>
      </c>
      <c r="Q12" t="str">
        <f t="shared" si="1"/>
        <v>T</v>
      </c>
      <c r="R12" s="4">
        <f t="shared" si="0"/>
        <v>582000</v>
      </c>
    </row>
    <row r="13" spans="1:18" x14ac:dyDescent="0.2">
      <c r="A13">
        <v>10</v>
      </c>
      <c r="B13" s="1" t="s">
        <v>130</v>
      </c>
      <c r="C13" t="s">
        <v>142</v>
      </c>
      <c r="D13">
        <v>29</v>
      </c>
      <c r="E13" t="s">
        <v>13</v>
      </c>
      <c r="F13" s="2">
        <v>766667</v>
      </c>
      <c r="G13" t="s">
        <v>23</v>
      </c>
      <c r="H13" t="s">
        <v>14</v>
      </c>
      <c r="I13">
        <v>43</v>
      </c>
      <c r="J13">
        <v>0.91</v>
      </c>
      <c r="K13">
        <v>2.4900000000000002</v>
      </c>
      <c r="L13">
        <v>2</v>
      </c>
      <c r="M13">
        <v>31</v>
      </c>
      <c r="N13" t="s">
        <v>131</v>
      </c>
      <c r="O13">
        <v>25.96</v>
      </c>
      <c r="P13">
        <v>0.61</v>
      </c>
      <c r="Q13" t="str">
        <f t="shared" si="1"/>
        <v>T</v>
      </c>
      <c r="R13" s="4">
        <f t="shared" si="0"/>
        <v>25000</v>
      </c>
    </row>
    <row r="14" spans="1:18" x14ac:dyDescent="0.2">
      <c r="A14">
        <v>11</v>
      </c>
      <c r="B14" s="1" t="s">
        <v>51</v>
      </c>
      <c r="C14" t="s">
        <v>143</v>
      </c>
      <c r="D14">
        <v>32</v>
      </c>
      <c r="E14" t="s">
        <v>13</v>
      </c>
      <c r="F14" s="2">
        <v>5000000</v>
      </c>
      <c r="G14" t="s">
        <v>23</v>
      </c>
      <c r="H14" t="s">
        <v>14</v>
      </c>
      <c r="I14">
        <v>44</v>
      </c>
      <c r="J14">
        <v>0.91</v>
      </c>
      <c r="K14">
        <v>2.72</v>
      </c>
      <c r="L14">
        <v>4</v>
      </c>
      <c r="M14">
        <v>25</v>
      </c>
      <c r="N14" t="s">
        <v>52</v>
      </c>
      <c r="O14">
        <v>13.84</v>
      </c>
      <c r="P14">
        <v>0.33</v>
      </c>
      <c r="Q14" t="str">
        <f t="shared" si="1"/>
        <v>T</v>
      </c>
      <c r="R14" s="4">
        <f t="shared" si="0"/>
        <v>200000</v>
      </c>
    </row>
    <row r="15" spans="1:18" x14ac:dyDescent="0.2">
      <c r="A15">
        <v>12</v>
      </c>
      <c r="B15" s="1" t="s">
        <v>121</v>
      </c>
      <c r="C15" t="s">
        <v>144</v>
      </c>
      <c r="D15">
        <v>24</v>
      </c>
      <c r="E15" t="s">
        <v>13</v>
      </c>
      <c r="F15" s="2">
        <v>850000</v>
      </c>
      <c r="G15" t="s">
        <v>15</v>
      </c>
      <c r="H15" t="s">
        <v>19</v>
      </c>
      <c r="I15">
        <v>53</v>
      </c>
      <c r="J15">
        <v>0.91</v>
      </c>
      <c r="K15">
        <v>2.64</v>
      </c>
      <c r="L15">
        <v>3</v>
      </c>
      <c r="M15">
        <v>29</v>
      </c>
      <c r="N15" t="s">
        <v>122</v>
      </c>
      <c r="O15">
        <v>11.93</v>
      </c>
      <c r="P15">
        <v>0.22</v>
      </c>
      <c r="Q15" t="str">
        <f t="shared" si="1"/>
        <v>T</v>
      </c>
      <c r="R15" s="4">
        <f t="shared" si="0"/>
        <v>29000</v>
      </c>
    </row>
    <row r="16" spans="1:18" x14ac:dyDescent="0.2">
      <c r="A16">
        <v>13</v>
      </c>
      <c r="B16" s="1" t="s">
        <v>62</v>
      </c>
      <c r="C16" t="s">
        <v>139</v>
      </c>
      <c r="D16">
        <v>27</v>
      </c>
      <c r="E16" t="s">
        <v>13</v>
      </c>
      <c r="F16" s="2">
        <v>4000000</v>
      </c>
      <c r="G16" t="s">
        <v>23</v>
      </c>
      <c r="H16" t="s">
        <v>19</v>
      </c>
      <c r="I16">
        <v>58</v>
      </c>
      <c r="J16">
        <v>0.90900000000000003</v>
      </c>
      <c r="K16">
        <v>2.59</v>
      </c>
      <c r="L16">
        <v>2</v>
      </c>
      <c r="M16">
        <v>36</v>
      </c>
      <c r="N16" t="s">
        <v>63</v>
      </c>
      <c r="O16">
        <v>10.65</v>
      </c>
      <c r="P16">
        <v>0.18</v>
      </c>
      <c r="Q16" t="str">
        <f t="shared" si="1"/>
        <v>T</v>
      </c>
      <c r="R16" s="4">
        <f t="shared" si="0"/>
        <v>111000</v>
      </c>
    </row>
    <row r="17" spans="1:18" x14ac:dyDescent="0.2">
      <c r="A17">
        <v>14</v>
      </c>
      <c r="B17" s="1" t="s">
        <v>132</v>
      </c>
      <c r="C17" t="s">
        <v>135</v>
      </c>
      <c r="D17">
        <v>27</v>
      </c>
      <c r="E17" t="s">
        <v>13</v>
      </c>
      <c r="F17" s="2">
        <v>766667</v>
      </c>
      <c r="G17" t="s">
        <v>23</v>
      </c>
      <c r="H17" t="s">
        <v>19</v>
      </c>
      <c r="I17">
        <v>42</v>
      </c>
      <c r="J17">
        <v>0.90900000000000003</v>
      </c>
      <c r="K17">
        <v>2.73</v>
      </c>
      <c r="L17">
        <v>1</v>
      </c>
      <c r="M17">
        <v>27</v>
      </c>
      <c r="N17" t="s">
        <v>133</v>
      </c>
      <c r="O17">
        <v>16.850000000000001</v>
      </c>
      <c r="P17">
        <v>0.41</v>
      </c>
      <c r="Q17" t="str">
        <f t="shared" si="1"/>
        <v>T</v>
      </c>
      <c r="R17" s="4">
        <f t="shared" si="0"/>
        <v>28000</v>
      </c>
    </row>
    <row r="18" spans="1:18" x14ac:dyDescent="0.2">
      <c r="A18">
        <v>15</v>
      </c>
      <c r="B18" s="1" t="s">
        <v>66</v>
      </c>
      <c r="C18" t="s">
        <v>165</v>
      </c>
      <c r="D18">
        <v>35</v>
      </c>
      <c r="E18" t="s">
        <v>13</v>
      </c>
      <c r="F18" s="2">
        <v>3850000</v>
      </c>
      <c r="G18" t="s">
        <v>23</v>
      </c>
      <c r="H18" t="s">
        <v>14</v>
      </c>
      <c r="I18">
        <v>31</v>
      </c>
      <c r="J18">
        <v>0.90800000000000003</v>
      </c>
      <c r="K18">
        <v>2.66</v>
      </c>
      <c r="L18">
        <v>4</v>
      </c>
      <c r="M18">
        <v>13</v>
      </c>
      <c r="N18" t="s">
        <v>67</v>
      </c>
      <c r="O18">
        <v>18.420000000000002</v>
      </c>
      <c r="P18">
        <v>0.63</v>
      </c>
      <c r="Q18" t="str">
        <f t="shared" si="1"/>
        <v>T</v>
      </c>
      <c r="R18" s="4">
        <f t="shared" si="0"/>
        <v>296000</v>
      </c>
    </row>
    <row r="19" spans="1:18" x14ac:dyDescent="0.2">
      <c r="A19">
        <v>16</v>
      </c>
      <c r="B19" s="1" t="s">
        <v>98</v>
      </c>
      <c r="C19" t="s">
        <v>164</v>
      </c>
      <c r="D19">
        <v>33</v>
      </c>
      <c r="E19" t="s">
        <v>13</v>
      </c>
      <c r="F19" s="2">
        <v>1500000</v>
      </c>
      <c r="G19" t="s">
        <v>15</v>
      </c>
      <c r="H19" t="s">
        <v>14</v>
      </c>
      <c r="I19">
        <v>24</v>
      </c>
      <c r="J19">
        <v>0.90800000000000003</v>
      </c>
      <c r="K19">
        <v>2.34</v>
      </c>
      <c r="L19">
        <v>2</v>
      </c>
      <c r="M19">
        <v>14</v>
      </c>
      <c r="N19" t="s">
        <v>99</v>
      </c>
      <c r="O19">
        <v>3.17</v>
      </c>
      <c r="P19">
        <v>0.13</v>
      </c>
      <c r="Q19" t="str">
        <f t="shared" si="1"/>
        <v>T</v>
      </c>
      <c r="R19" s="4">
        <f t="shared" si="0"/>
        <v>107000</v>
      </c>
    </row>
    <row r="20" spans="1:18" x14ac:dyDescent="0.2">
      <c r="A20">
        <v>17</v>
      </c>
      <c r="B20" s="1" t="s">
        <v>16</v>
      </c>
      <c r="C20" t="s">
        <v>148</v>
      </c>
      <c r="D20">
        <v>37</v>
      </c>
      <c r="E20" t="s">
        <v>13</v>
      </c>
      <c r="F20" s="2">
        <v>10000000</v>
      </c>
      <c r="G20" t="s">
        <v>15</v>
      </c>
      <c r="H20" t="s">
        <v>14</v>
      </c>
      <c r="I20">
        <v>54</v>
      </c>
      <c r="J20">
        <v>0.90600000000000003</v>
      </c>
      <c r="K20">
        <v>2.44</v>
      </c>
      <c r="L20">
        <v>5</v>
      </c>
      <c r="M20">
        <v>33</v>
      </c>
      <c r="N20" t="s">
        <v>17</v>
      </c>
      <c r="O20">
        <v>7.24</v>
      </c>
      <c r="P20">
        <v>0.13</v>
      </c>
      <c r="Q20" t="str">
        <f t="shared" si="1"/>
        <v>E</v>
      </c>
      <c r="R20" s="4">
        <f t="shared" si="0"/>
        <v>303000</v>
      </c>
    </row>
    <row r="21" spans="1:18" x14ac:dyDescent="0.2">
      <c r="A21">
        <v>18</v>
      </c>
      <c r="B21" s="1" t="s">
        <v>104</v>
      </c>
      <c r="C21" t="s">
        <v>147</v>
      </c>
      <c r="D21">
        <v>29</v>
      </c>
      <c r="E21" t="s">
        <v>13</v>
      </c>
      <c r="F21" s="2">
        <v>1200000</v>
      </c>
      <c r="G21" t="s">
        <v>23</v>
      </c>
      <c r="H21" t="s">
        <v>14</v>
      </c>
      <c r="I21">
        <v>57</v>
      </c>
      <c r="J21">
        <v>0.90600000000000003</v>
      </c>
      <c r="K21">
        <v>2.75</v>
      </c>
      <c r="L21">
        <v>2</v>
      </c>
      <c r="M21">
        <v>27</v>
      </c>
      <c r="N21" t="s">
        <v>105</v>
      </c>
      <c r="O21">
        <v>19.05</v>
      </c>
      <c r="P21">
        <v>0.34</v>
      </c>
      <c r="Q21" t="str">
        <f t="shared" si="1"/>
        <v>T</v>
      </c>
      <c r="R21" s="4">
        <f t="shared" si="0"/>
        <v>44000</v>
      </c>
    </row>
    <row r="22" spans="1:18" x14ac:dyDescent="0.2">
      <c r="A22">
        <v>19</v>
      </c>
      <c r="B22" s="1" t="s">
        <v>53</v>
      </c>
      <c r="C22" t="s">
        <v>146</v>
      </c>
      <c r="D22">
        <v>29</v>
      </c>
      <c r="E22" t="s">
        <v>13</v>
      </c>
      <c r="F22" s="2">
        <v>4900000</v>
      </c>
      <c r="G22" t="s">
        <v>23</v>
      </c>
      <c r="H22" t="s">
        <v>14</v>
      </c>
      <c r="I22">
        <v>50</v>
      </c>
      <c r="J22">
        <v>0.90600000000000003</v>
      </c>
      <c r="K22">
        <v>2.4700000000000002</v>
      </c>
      <c r="L22">
        <v>4</v>
      </c>
      <c r="M22">
        <v>32</v>
      </c>
      <c r="N22" t="s">
        <v>54</v>
      </c>
      <c r="O22">
        <v>14.53</v>
      </c>
      <c r="P22">
        <v>0.28999999999999998</v>
      </c>
      <c r="Q22" t="str">
        <f t="shared" si="1"/>
        <v>T</v>
      </c>
      <c r="R22" s="4">
        <f t="shared" si="0"/>
        <v>153000</v>
      </c>
    </row>
    <row r="23" spans="1:18" x14ac:dyDescent="0.2">
      <c r="A23">
        <v>20</v>
      </c>
      <c r="B23" s="1" t="s">
        <v>29</v>
      </c>
      <c r="C23" t="s">
        <v>145</v>
      </c>
      <c r="D23">
        <v>30</v>
      </c>
      <c r="E23" t="s">
        <v>13</v>
      </c>
      <c r="F23" s="2">
        <v>8250000</v>
      </c>
      <c r="G23" t="s">
        <v>27</v>
      </c>
      <c r="H23" t="s">
        <v>14</v>
      </c>
      <c r="I23">
        <v>61</v>
      </c>
      <c r="J23">
        <v>0.90600000000000003</v>
      </c>
      <c r="K23">
        <v>2.71</v>
      </c>
      <c r="L23">
        <v>4</v>
      </c>
      <c r="M23">
        <v>30</v>
      </c>
      <c r="N23" t="s">
        <v>30</v>
      </c>
      <c r="O23">
        <v>17.54</v>
      </c>
      <c r="P23">
        <v>0.3</v>
      </c>
      <c r="Q23" t="str">
        <f t="shared" si="1"/>
        <v>E</v>
      </c>
      <c r="R23" s="4">
        <f t="shared" si="0"/>
        <v>275000</v>
      </c>
    </row>
    <row r="24" spans="1:18" x14ac:dyDescent="0.2">
      <c r="A24">
        <v>21</v>
      </c>
      <c r="B24" s="1" t="s">
        <v>40</v>
      </c>
      <c r="C24" t="s">
        <v>149</v>
      </c>
      <c r="D24">
        <v>30</v>
      </c>
      <c r="E24" t="s">
        <v>13</v>
      </c>
      <c r="F24" s="2">
        <v>5666667</v>
      </c>
      <c r="G24" t="s">
        <v>23</v>
      </c>
      <c r="H24" t="s">
        <v>14</v>
      </c>
      <c r="I24">
        <v>61</v>
      </c>
      <c r="J24">
        <v>0.90500000000000003</v>
      </c>
      <c r="K24">
        <v>2.86</v>
      </c>
      <c r="L24">
        <v>6</v>
      </c>
      <c r="M24">
        <v>27</v>
      </c>
      <c r="N24" t="s">
        <v>41</v>
      </c>
      <c r="O24">
        <v>21.56</v>
      </c>
      <c r="P24">
        <v>0.36</v>
      </c>
      <c r="Q24" t="str">
        <f t="shared" si="1"/>
        <v>T</v>
      </c>
      <c r="R24" s="4">
        <f t="shared" si="0"/>
        <v>210000</v>
      </c>
    </row>
    <row r="25" spans="1:18" x14ac:dyDescent="0.2">
      <c r="A25">
        <v>22</v>
      </c>
      <c r="B25" s="1" t="s">
        <v>128</v>
      </c>
      <c r="C25" t="s">
        <v>151</v>
      </c>
      <c r="D25">
        <v>25</v>
      </c>
      <c r="E25" t="s">
        <v>13</v>
      </c>
      <c r="F25" s="2">
        <v>775000</v>
      </c>
      <c r="G25" t="s">
        <v>23</v>
      </c>
      <c r="H25" t="s">
        <v>19</v>
      </c>
      <c r="I25">
        <v>31</v>
      </c>
      <c r="J25">
        <v>0.90400000000000003</v>
      </c>
      <c r="K25">
        <v>2.65</v>
      </c>
      <c r="L25">
        <v>1</v>
      </c>
      <c r="M25">
        <v>16</v>
      </c>
      <c r="N25" t="s">
        <v>129</v>
      </c>
      <c r="O25">
        <v>-4.34</v>
      </c>
      <c r="P25">
        <v>-0.15</v>
      </c>
      <c r="Q25" t="str">
        <f t="shared" si="1"/>
        <v>T</v>
      </c>
      <c r="R25" s="4">
        <f t="shared" si="0"/>
        <v>48000</v>
      </c>
    </row>
    <row r="26" spans="1:18" x14ac:dyDescent="0.2">
      <c r="A26">
        <v>23</v>
      </c>
      <c r="B26" s="1" t="s">
        <v>77</v>
      </c>
      <c r="C26" t="s">
        <v>150</v>
      </c>
      <c r="D26">
        <v>29</v>
      </c>
      <c r="E26" t="s">
        <v>13</v>
      </c>
      <c r="F26" s="2">
        <v>2725000</v>
      </c>
      <c r="G26" t="s">
        <v>23</v>
      </c>
      <c r="H26" t="s">
        <v>14</v>
      </c>
      <c r="I26">
        <v>58</v>
      </c>
      <c r="J26">
        <v>0.90400000000000003</v>
      </c>
      <c r="K26">
        <v>2.58</v>
      </c>
      <c r="L26">
        <v>1</v>
      </c>
      <c r="M26">
        <v>26</v>
      </c>
      <c r="N26" t="s">
        <v>78</v>
      </c>
      <c r="O26">
        <v>14.18</v>
      </c>
      <c r="P26">
        <v>0.25</v>
      </c>
      <c r="Q26" t="str">
        <f t="shared" si="1"/>
        <v>T</v>
      </c>
      <c r="R26" s="4">
        <f t="shared" si="0"/>
        <v>105000</v>
      </c>
    </row>
    <row r="27" spans="1:18" x14ac:dyDescent="0.2">
      <c r="A27">
        <v>24</v>
      </c>
      <c r="B27" s="1" t="s">
        <v>127</v>
      </c>
      <c r="C27" t="s">
        <v>141</v>
      </c>
      <c r="D27">
        <v>25</v>
      </c>
      <c r="E27" t="s">
        <v>13</v>
      </c>
      <c r="F27" s="2">
        <v>812500</v>
      </c>
      <c r="G27" t="s">
        <v>23</v>
      </c>
      <c r="H27" t="s">
        <v>19</v>
      </c>
      <c r="I27">
        <v>54</v>
      </c>
      <c r="J27">
        <v>0.90300000000000002</v>
      </c>
      <c r="K27">
        <v>3.1</v>
      </c>
      <c r="L27">
        <v>1</v>
      </c>
      <c r="M27">
        <v>23</v>
      </c>
      <c r="N27" t="s">
        <v>120</v>
      </c>
      <c r="O27">
        <v>14.35</v>
      </c>
      <c r="P27">
        <v>0.28000000000000003</v>
      </c>
      <c r="Q27" t="str">
        <f t="shared" si="1"/>
        <v>T</v>
      </c>
      <c r="R27" s="4">
        <f t="shared" si="0"/>
        <v>35000</v>
      </c>
    </row>
    <row r="28" spans="1:18" x14ac:dyDescent="0.2">
      <c r="A28">
        <v>25</v>
      </c>
      <c r="B28" s="1" t="s">
        <v>58</v>
      </c>
      <c r="C28" t="s">
        <v>157</v>
      </c>
      <c r="D28">
        <v>24</v>
      </c>
      <c r="E28" t="s">
        <v>13</v>
      </c>
      <c r="F28" s="2">
        <v>4500000</v>
      </c>
      <c r="G28" t="s">
        <v>15</v>
      </c>
      <c r="H28" t="s">
        <v>19</v>
      </c>
      <c r="I28">
        <v>38</v>
      </c>
      <c r="J28">
        <v>0.90200000000000002</v>
      </c>
      <c r="K28">
        <v>2.7</v>
      </c>
      <c r="L28">
        <v>2</v>
      </c>
      <c r="M28">
        <v>17</v>
      </c>
      <c r="N28" t="s">
        <v>59</v>
      </c>
      <c r="O28">
        <v>6.9</v>
      </c>
      <c r="P28">
        <v>0.18</v>
      </c>
      <c r="Q28" t="str">
        <f t="shared" si="1"/>
        <v>T</v>
      </c>
      <c r="R28" s="4">
        <f t="shared" si="0"/>
        <v>265000</v>
      </c>
    </row>
    <row r="29" spans="1:18" x14ac:dyDescent="0.2">
      <c r="A29">
        <v>26</v>
      </c>
      <c r="B29" s="1" t="s">
        <v>119</v>
      </c>
      <c r="C29" t="s">
        <v>152</v>
      </c>
      <c r="D29">
        <v>30</v>
      </c>
      <c r="E29" t="s">
        <v>13</v>
      </c>
      <c r="F29" s="2">
        <v>875000</v>
      </c>
      <c r="G29" t="s">
        <v>23</v>
      </c>
      <c r="H29" t="s">
        <v>14</v>
      </c>
      <c r="I29">
        <v>51</v>
      </c>
      <c r="J29">
        <v>0.90200000000000002</v>
      </c>
      <c r="K29">
        <v>2.62</v>
      </c>
      <c r="L29">
        <v>4</v>
      </c>
      <c r="M29">
        <v>25</v>
      </c>
      <c r="N29" t="s">
        <v>120</v>
      </c>
      <c r="O29">
        <v>0.09</v>
      </c>
      <c r="P29">
        <v>0</v>
      </c>
      <c r="Q29" t="str">
        <f t="shared" si="1"/>
        <v>T</v>
      </c>
      <c r="R29" s="4">
        <f t="shared" si="0"/>
        <v>35000</v>
      </c>
    </row>
    <row r="30" spans="1:18" x14ac:dyDescent="0.2">
      <c r="A30">
        <v>27</v>
      </c>
      <c r="B30" s="1" t="s">
        <v>74</v>
      </c>
      <c r="C30" t="s">
        <v>153</v>
      </c>
      <c r="D30">
        <v>29</v>
      </c>
      <c r="E30" t="s">
        <v>13</v>
      </c>
      <c r="F30" s="2">
        <v>3150000</v>
      </c>
      <c r="G30" t="s">
        <v>32</v>
      </c>
      <c r="H30" t="s">
        <v>14</v>
      </c>
      <c r="I30">
        <v>62</v>
      </c>
      <c r="J30">
        <v>0.90200000000000002</v>
      </c>
      <c r="K30">
        <v>2.82</v>
      </c>
      <c r="L30">
        <v>4</v>
      </c>
      <c r="M30">
        <v>31</v>
      </c>
      <c r="N30" t="s">
        <v>75</v>
      </c>
      <c r="O30">
        <v>24.59</v>
      </c>
      <c r="P30">
        <v>0.41</v>
      </c>
      <c r="Q30" t="str">
        <f t="shared" si="1"/>
        <v>T</v>
      </c>
      <c r="R30" s="4">
        <f t="shared" si="0"/>
        <v>102000</v>
      </c>
    </row>
    <row r="31" spans="1:18" x14ac:dyDescent="0.2">
      <c r="A31">
        <v>28</v>
      </c>
      <c r="B31" s="1" t="s">
        <v>76</v>
      </c>
      <c r="C31" t="s">
        <v>137</v>
      </c>
      <c r="D31">
        <v>33</v>
      </c>
      <c r="E31" t="s">
        <v>13</v>
      </c>
      <c r="F31" s="2">
        <v>2750000</v>
      </c>
      <c r="G31" t="s">
        <v>23</v>
      </c>
      <c r="H31" t="s">
        <v>14</v>
      </c>
      <c r="I31">
        <v>30</v>
      </c>
      <c r="J31">
        <v>0.90100000000000002</v>
      </c>
      <c r="K31">
        <v>2.72</v>
      </c>
      <c r="L31">
        <v>3</v>
      </c>
      <c r="M31">
        <v>11</v>
      </c>
      <c r="N31" t="s">
        <v>21</v>
      </c>
      <c r="O31">
        <v>2.23</v>
      </c>
      <c r="P31">
        <v>7.0000000000000007E-2</v>
      </c>
      <c r="Q31" t="str">
        <f t="shared" si="1"/>
        <v>T</v>
      </c>
      <c r="R31" s="4">
        <f t="shared" si="0"/>
        <v>250000</v>
      </c>
    </row>
    <row r="32" spans="1:18" x14ac:dyDescent="0.2">
      <c r="A32">
        <v>29</v>
      </c>
      <c r="B32" s="1" t="s">
        <v>84</v>
      </c>
      <c r="C32" t="s">
        <v>154</v>
      </c>
      <c r="D32">
        <v>38</v>
      </c>
      <c r="E32" t="s">
        <v>13</v>
      </c>
      <c r="F32" s="2">
        <v>2500000</v>
      </c>
      <c r="G32" t="s">
        <v>15</v>
      </c>
      <c r="H32" t="s">
        <v>14</v>
      </c>
      <c r="I32">
        <v>47</v>
      </c>
      <c r="J32">
        <v>0.90100000000000002</v>
      </c>
      <c r="K32">
        <v>2.93</v>
      </c>
      <c r="L32">
        <v>2</v>
      </c>
      <c r="M32">
        <v>21</v>
      </c>
      <c r="N32" t="s">
        <v>85</v>
      </c>
      <c r="O32">
        <v>12.8</v>
      </c>
      <c r="P32">
        <v>0.28999999999999998</v>
      </c>
      <c r="Q32" t="str">
        <f t="shared" si="1"/>
        <v>T</v>
      </c>
      <c r="R32" s="4">
        <f t="shared" si="0"/>
        <v>119000</v>
      </c>
    </row>
    <row r="33" spans="1:18" x14ac:dyDescent="0.2">
      <c r="A33">
        <v>30</v>
      </c>
      <c r="B33" s="1" t="s">
        <v>36</v>
      </c>
      <c r="C33" t="s">
        <v>151</v>
      </c>
      <c r="D33">
        <v>32</v>
      </c>
      <c r="E33" t="s">
        <v>13</v>
      </c>
      <c r="F33" s="2">
        <v>6000000</v>
      </c>
      <c r="G33" t="s">
        <v>32</v>
      </c>
      <c r="H33" t="s">
        <v>14</v>
      </c>
      <c r="I33">
        <v>56</v>
      </c>
      <c r="J33">
        <v>0.9</v>
      </c>
      <c r="K33">
        <v>2.69</v>
      </c>
      <c r="L33">
        <v>3</v>
      </c>
      <c r="M33">
        <v>28</v>
      </c>
      <c r="N33" t="s">
        <v>37</v>
      </c>
      <c r="O33">
        <v>5.25</v>
      </c>
      <c r="P33">
        <v>0.09</v>
      </c>
      <c r="Q33" t="str">
        <f t="shared" si="1"/>
        <v>T</v>
      </c>
      <c r="R33" s="4">
        <f t="shared" si="0"/>
        <v>214000</v>
      </c>
    </row>
    <row r="34" spans="1:18" x14ac:dyDescent="0.2">
      <c r="A34">
        <v>31</v>
      </c>
      <c r="B34" s="1" t="s">
        <v>34</v>
      </c>
      <c r="C34" t="s">
        <v>165</v>
      </c>
      <c r="D34">
        <v>36</v>
      </c>
      <c r="E34" t="s">
        <v>13</v>
      </c>
      <c r="F34" s="2">
        <v>6000000</v>
      </c>
      <c r="G34" t="s">
        <v>15</v>
      </c>
      <c r="H34" t="s">
        <v>14</v>
      </c>
      <c r="I34">
        <v>49</v>
      </c>
      <c r="J34">
        <v>0.9</v>
      </c>
      <c r="K34">
        <v>2.5</v>
      </c>
      <c r="L34">
        <v>4</v>
      </c>
      <c r="M34">
        <v>26</v>
      </c>
      <c r="N34" t="s">
        <v>35</v>
      </c>
      <c r="O34">
        <v>3.43</v>
      </c>
      <c r="P34">
        <v>7.0000000000000007E-2</v>
      </c>
      <c r="Q34" t="str">
        <f t="shared" si="1"/>
        <v>T</v>
      </c>
      <c r="R34" s="4">
        <f t="shared" si="0"/>
        <v>231000</v>
      </c>
    </row>
    <row r="35" spans="1:18" x14ac:dyDescent="0.2">
      <c r="A35">
        <v>32</v>
      </c>
      <c r="B35" s="1" t="s">
        <v>83</v>
      </c>
      <c r="C35" t="s">
        <v>140</v>
      </c>
      <c r="D35">
        <v>41</v>
      </c>
      <c r="E35" t="s">
        <v>13</v>
      </c>
      <c r="F35" s="2">
        <v>2500000</v>
      </c>
      <c r="G35" t="s">
        <v>23</v>
      </c>
      <c r="H35" t="s">
        <v>14</v>
      </c>
      <c r="I35">
        <v>26</v>
      </c>
      <c r="J35">
        <v>0.89900000000000002</v>
      </c>
      <c r="K35">
        <v>2.94</v>
      </c>
      <c r="L35">
        <v>1</v>
      </c>
      <c r="M35">
        <v>14</v>
      </c>
      <c r="N35" t="s">
        <v>82</v>
      </c>
      <c r="O35">
        <v>-8.08</v>
      </c>
      <c r="P35">
        <v>-0.34</v>
      </c>
      <c r="Q35" t="str">
        <f t="shared" si="1"/>
        <v>T</v>
      </c>
      <c r="R35" s="4">
        <f t="shared" si="0"/>
        <v>179000</v>
      </c>
    </row>
    <row r="36" spans="1:18" x14ac:dyDescent="0.2">
      <c r="A36">
        <v>33</v>
      </c>
      <c r="B36" s="1" t="s">
        <v>70</v>
      </c>
      <c r="C36" t="s">
        <v>156</v>
      </c>
      <c r="D36">
        <v>36</v>
      </c>
      <c r="E36" t="s">
        <v>13</v>
      </c>
      <c r="F36" s="2">
        <v>3400000</v>
      </c>
      <c r="G36" t="s">
        <v>23</v>
      </c>
      <c r="H36" t="s">
        <v>14</v>
      </c>
      <c r="I36">
        <v>22</v>
      </c>
      <c r="J36">
        <v>0.89800000000000002</v>
      </c>
      <c r="K36">
        <v>2.5</v>
      </c>
      <c r="L36">
        <v>1</v>
      </c>
      <c r="M36">
        <v>13</v>
      </c>
      <c r="N36" t="s">
        <v>71</v>
      </c>
      <c r="O36">
        <v>8.9499999999999993</v>
      </c>
      <c r="P36">
        <v>0.4</v>
      </c>
      <c r="Q36" t="str">
        <f t="shared" si="1"/>
        <v>T</v>
      </c>
      <c r="R36" s="4">
        <f t="shared" ref="R36:R61" si="2">SUBSTITUTE(SUBSTITUTE(UPPER(N36), "$", ""), "K", "") * 1000</f>
        <v>262000</v>
      </c>
    </row>
    <row r="37" spans="1:18" x14ac:dyDescent="0.2">
      <c r="A37">
        <v>34</v>
      </c>
      <c r="B37" s="1" t="s">
        <v>92</v>
      </c>
      <c r="C37" t="s">
        <v>156</v>
      </c>
      <c r="D37">
        <v>26</v>
      </c>
      <c r="E37" t="s">
        <v>13</v>
      </c>
      <c r="F37" s="2">
        <v>2000000</v>
      </c>
      <c r="G37" t="s">
        <v>32</v>
      </c>
      <c r="H37" t="s">
        <v>14</v>
      </c>
      <c r="I37">
        <v>47</v>
      </c>
      <c r="J37">
        <v>0.89800000000000002</v>
      </c>
      <c r="K37">
        <v>2.6</v>
      </c>
      <c r="L37">
        <v>2</v>
      </c>
      <c r="M37">
        <v>27</v>
      </c>
      <c r="N37" t="s">
        <v>93</v>
      </c>
      <c r="O37">
        <v>5.99</v>
      </c>
      <c r="P37">
        <v>0.12</v>
      </c>
      <c r="Q37" t="str">
        <f t="shared" si="1"/>
        <v>T</v>
      </c>
      <c r="R37" s="4">
        <f t="shared" si="2"/>
        <v>74000</v>
      </c>
    </row>
    <row r="38" spans="1:18" x14ac:dyDescent="0.2">
      <c r="A38">
        <v>35</v>
      </c>
      <c r="B38" s="1" t="s">
        <v>115</v>
      </c>
      <c r="C38" t="s">
        <v>157</v>
      </c>
      <c r="D38">
        <v>26</v>
      </c>
      <c r="E38" t="s">
        <v>13</v>
      </c>
      <c r="F38" s="2">
        <v>962500</v>
      </c>
      <c r="G38" t="s">
        <v>23</v>
      </c>
      <c r="H38" t="s">
        <v>19</v>
      </c>
      <c r="I38">
        <v>36</v>
      </c>
      <c r="J38">
        <v>0.89800000000000002</v>
      </c>
      <c r="K38">
        <v>3.18</v>
      </c>
      <c r="L38">
        <v>0</v>
      </c>
      <c r="M38">
        <v>10</v>
      </c>
      <c r="N38" t="s">
        <v>116</v>
      </c>
      <c r="O38">
        <v>0.96</v>
      </c>
      <c r="P38">
        <v>0.02</v>
      </c>
      <c r="Q38" t="str">
        <f t="shared" si="1"/>
        <v>T</v>
      </c>
      <c r="R38" s="4">
        <f t="shared" si="2"/>
        <v>96000</v>
      </c>
    </row>
    <row r="39" spans="1:18" x14ac:dyDescent="0.2">
      <c r="A39">
        <v>36</v>
      </c>
      <c r="B39" s="1" t="s">
        <v>90</v>
      </c>
      <c r="C39" t="s">
        <v>144</v>
      </c>
      <c r="D39">
        <v>28</v>
      </c>
      <c r="E39" t="s">
        <v>13</v>
      </c>
      <c r="F39" s="2">
        <v>2200000</v>
      </c>
      <c r="G39" t="s">
        <v>23</v>
      </c>
      <c r="H39" t="s">
        <v>14</v>
      </c>
      <c r="I39">
        <v>30</v>
      </c>
      <c r="J39">
        <v>0.89800000000000002</v>
      </c>
      <c r="K39">
        <v>2.8</v>
      </c>
      <c r="L39">
        <v>2</v>
      </c>
      <c r="M39">
        <v>12</v>
      </c>
      <c r="N39" t="s">
        <v>91</v>
      </c>
      <c r="O39">
        <v>0.91</v>
      </c>
      <c r="P39">
        <v>0.03</v>
      </c>
      <c r="Q39" t="str">
        <f t="shared" si="1"/>
        <v>T</v>
      </c>
      <c r="R39" s="4">
        <f t="shared" si="2"/>
        <v>183000</v>
      </c>
    </row>
    <row r="40" spans="1:18" x14ac:dyDescent="0.2">
      <c r="A40">
        <v>37</v>
      </c>
      <c r="B40" s="1" t="s">
        <v>112</v>
      </c>
      <c r="C40" t="s">
        <v>141</v>
      </c>
      <c r="D40">
        <v>37</v>
      </c>
      <c r="E40" t="s">
        <v>13</v>
      </c>
      <c r="F40" s="2">
        <v>1000000</v>
      </c>
      <c r="G40" t="s">
        <v>23</v>
      </c>
      <c r="H40" t="s">
        <v>14</v>
      </c>
      <c r="I40">
        <v>24</v>
      </c>
      <c r="J40">
        <v>0.89700000000000002</v>
      </c>
      <c r="K40">
        <v>3.03</v>
      </c>
      <c r="L40">
        <v>1</v>
      </c>
      <c r="M40">
        <v>10</v>
      </c>
      <c r="N40" t="s">
        <v>80</v>
      </c>
      <c r="O40">
        <v>8.01</v>
      </c>
      <c r="P40">
        <v>0.35</v>
      </c>
      <c r="Q40" t="str">
        <f t="shared" si="1"/>
        <v>T</v>
      </c>
      <c r="R40" s="4">
        <f t="shared" si="2"/>
        <v>100000</v>
      </c>
    </row>
    <row r="41" spans="1:18" x14ac:dyDescent="0.2">
      <c r="A41">
        <v>38</v>
      </c>
      <c r="B41" s="1" t="s">
        <v>106</v>
      </c>
      <c r="C41" t="s">
        <v>142</v>
      </c>
      <c r="D41">
        <v>32</v>
      </c>
      <c r="E41" t="s">
        <v>13</v>
      </c>
      <c r="F41" s="2">
        <v>1100000</v>
      </c>
      <c r="G41" t="s">
        <v>23</v>
      </c>
      <c r="H41" t="s">
        <v>14</v>
      </c>
      <c r="I41">
        <v>39</v>
      </c>
      <c r="J41">
        <v>0.89600000000000002</v>
      </c>
      <c r="K41">
        <v>2.73</v>
      </c>
      <c r="L41">
        <v>1</v>
      </c>
      <c r="M41">
        <v>20</v>
      </c>
      <c r="N41" t="s">
        <v>107</v>
      </c>
      <c r="O41">
        <v>-0.97</v>
      </c>
      <c r="P41">
        <v>-0.02</v>
      </c>
      <c r="Q41" t="str">
        <f t="shared" si="1"/>
        <v>T</v>
      </c>
      <c r="R41" s="4">
        <f t="shared" si="2"/>
        <v>55000</v>
      </c>
    </row>
    <row r="42" spans="1:18" x14ac:dyDescent="0.2">
      <c r="A42">
        <v>39</v>
      </c>
      <c r="B42" s="1" t="s">
        <v>117</v>
      </c>
      <c r="C42" t="s">
        <v>162</v>
      </c>
      <c r="D42">
        <v>33</v>
      </c>
      <c r="E42" t="s">
        <v>13</v>
      </c>
      <c r="F42" s="2">
        <v>900000</v>
      </c>
      <c r="G42" t="s">
        <v>23</v>
      </c>
      <c r="H42" t="s">
        <v>14</v>
      </c>
      <c r="I42">
        <v>30</v>
      </c>
      <c r="J42">
        <v>0.89600000000000002</v>
      </c>
      <c r="K42">
        <v>2.81</v>
      </c>
      <c r="L42">
        <v>1</v>
      </c>
      <c r="M42">
        <v>14</v>
      </c>
      <c r="N42" t="s">
        <v>118</v>
      </c>
      <c r="O42">
        <v>2.37</v>
      </c>
      <c r="P42">
        <v>0.09</v>
      </c>
      <c r="Q42" t="str">
        <f t="shared" si="1"/>
        <v>T</v>
      </c>
      <c r="R42" s="4">
        <f t="shared" si="2"/>
        <v>64000</v>
      </c>
    </row>
    <row r="43" spans="1:18" x14ac:dyDescent="0.2">
      <c r="A43">
        <v>40</v>
      </c>
      <c r="B43" s="1" t="s">
        <v>50</v>
      </c>
      <c r="C43" t="s">
        <v>158</v>
      </c>
      <c r="D43">
        <v>30</v>
      </c>
      <c r="E43" t="s">
        <v>13</v>
      </c>
      <c r="F43" s="2">
        <v>5000000</v>
      </c>
      <c r="G43" t="s">
        <v>23</v>
      </c>
      <c r="H43" t="s">
        <v>14</v>
      </c>
      <c r="I43">
        <v>58</v>
      </c>
      <c r="J43">
        <v>0.89600000000000002</v>
      </c>
      <c r="K43">
        <v>2.98</v>
      </c>
      <c r="L43">
        <v>4</v>
      </c>
      <c r="M43">
        <v>20</v>
      </c>
      <c r="N43" t="s">
        <v>21</v>
      </c>
      <c r="O43">
        <v>-7.42</v>
      </c>
      <c r="P43">
        <v>-0.13</v>
      </c>
      <c r="Q43" t="str">
        <f t="shared" si="1"/>
        <v>T</v>
      </c>
      <c r="R43" s="4">
        <f t="shared" si="2"/>
        <v>250000</v>
      </c>
    </row>
    <row r="44" spans="1:18" x14ac:dyDescent="0.2">
      <c r="A44">
        <v>41</v>
      </c>
      <c r="B44" s="1" t="s">
        <v>79</v>
      </c>
      <c r="C44" t="s">
        <v>155</v>
      </c>
      <c r="D44">
        <v>27</v>
      </c>
      <c r="E44" t="s">
        <v>13</v>
      </c>
      <c r="F44" s="2">
        <v>2600000</v>
      </c>
      <c r="G44" t="s">
        <v>15</v>
      </c>
      <c r="H44" t="s">
        <v>14</v>
      </c>
      <c r="I44">
        <v>51</v>
      </c>
      <c r="J44">
        <v>0.89500000000000002</v>
      </c>
      <c r="K44">
        <v>2.81</v>
      </c>
      <c r="L44">
        <v>3</v>
      </c>
      <c r="M44">
        <v>26</v>
      </c>
      <c r="N44" t="s">
        <v>80</v>
      </c>
      <c r="O44">
        <v>-1.52</v>
      </c>
      <c r="P44">
        <v>-0.03</v>
      </c>
      <c r="Q44" t="str">
        <f t="shared" si="1"/>
        <v>T</v>
      </c>
      <c r="R44" s="4">
        <f t="shared" si="2"/>
        <v>100000</v>
      </c>
    </row>
    <row r="45" spans="1:18" x14ac:dyDescent="0.2">
      <c r="A45">
        <v>42</v>
      </c>
      <c r="B45" s="1" t="s">
        <v>81</v>
      </c>
      <c r="C45" t="s">
        <v>166</v>
      </c>
      <c r="D45">
        <v>30</v>
      </c>
      <c r="E45" t="s">
        <v>13</v>
      </c>
      <c r="F45" s="2">
        <v>2500000</v>
      </c>
      <c r="G45" t="s">
        <v>15</v>
      </c>
      <c r="H45" t="s">
        <v>14</v>
      </c>
      <c r="I45">
        <v>38</v>
      </c>
      <c r="J45">
        <v>0.89400000000000002</v>
      </c>
      <c r="K45">
        <v>3.12</v>
      </c>
      <c r="L45">
        <v>1</v>
      </c>
      <c r="M45">
        <v>14</v>
      </c>
      <c r="N45" t="s">
        <v>82</v>
      </c>
      <c r="O45">
        <v>-0.98</v>
      </c>
      <c r="P45">
        <v>-0.02</v>
      </c>
      <c r="Q45" t="str">
        <f t="shared" si="1"/>
        <v>T</v>
      </c>
      <c r="R45" s="4">
        <f t="shared" si="2"/>
        <v>179000</v>
      </c>
    </row>
    <row r="46" spans="1:18" x14ac:dyDescent="0.2">
      <c r="A46">
        <v>43</v>
      </c>
      <c r="B46" s="1" t="s">
        <v>44</v>
      </c>
      <c r="C46" t="s">
        <v>159</v>
      </c>
      <c r="D46">
        <v>30</v>
      </c>
      <c r="E46" t="s">
        <v>13</v>
      </c>
      <c r="F46" s="2">
        <v>5375000</v>
      </c>
      <c r="G46" t="s">
        <v>20</v>
      </c>
      <c r="H46" t="s">
        <v>14</v>
      </c>
      <c r="I46">
        <v>36</v>
      </c>
      <c r="J46">
        <v>0.89300000000000002</v>
      </c>
      <c r="K46">
        <v>3.12</v>
      </c>
      <c r="L46">
        <v>2</v>
      </c>
      <c r="M46">
        <v>16</v>
      </c>
      <c r="N46" t="s">
        <v>45</v>
      </c>
      <c r="O46">
        <v>-4.67</v>
      </c>
      <c r="P46">
        <v>-0.13</v>
      </c>
      <c r="Q46" t="str">
        <f t="shared" si="1"/>
        <v>T</v>
      </c>
      <c r="R46" s="4">
        <f t="shared" si="2"/>
        <v>336000</v>
      </c>
    </row>
    <row r="47" spans="1:18" x14ac:dyDescent="0.2">
      <c r="A47">
        <v>44</v>
      </c>
      <c r="B47" s="1" t="s">
        <v>64</v>
      </c>
      <c r="C47" t="s">
        <v>160</v>
      </c>
      <c r="D47">
        <v>31</v>
      </c>
      <c r="E47" t="s">
        <v>13</v>
      </c>
      <c r="F47" s="2">
        <v>4000000</v>
      </c>
      <c r="G47" t="s">
        <v>20</v>
      </c>
      <c r="H47" t="s">
        <v>14</v>
      </c>
      <c r="I47">
        <v>27</v>
      </c>
      <c r="J47">
        <v>0.89300000000000002</v>
      </c>
      <c r="K47">
        <v>2.9</v>
      </c>
      <c r="L47">
        <v>3</v>
      </c>
      <c r="M47">
        <v>11</v>
      </c>
      <c r="N47" t="s">
        <v>65</v>
      </c>
      <c r="O47">
        <v>-1.65</v>
      </c>
      <c r="P47">
        <v>-0.06</v>
      </c>
      <c r="Q47" t="str">
        <f t="shared" si="1"/>
        <v>T</v>
      </c>
      <c r="R47" s="4">
        <f t="shared" si="2"/>
        <v>364000</v>
      </c>
    </row>
    <row r="48" spans="1:18" x14ac:dyDescent="0.2">
      <c r="A48">
        <v>45</v>
      </c>
      <c r="B48" s="1" t="s">
        <v>102</v>
      </c>
      <c r="C48" t="s">
        <v>149</v>
      </c>
      <c r="D48">
        <v>40</v>
      </c>
      <c r="E48" t="s">
        <v>13</v>
      </c>
      <c r="F48" s="2">
        <v>1275000</v>
      </c>
      <c r="G48" t="s">
        <v>23</v>
      </c>
      <c r="H48" t="s">
        <v>14</v>
      </c>
      <c r="I48">
        <v>24</v>
      </c>
      <c r="J48">
        <v>0.89300000000000002</v>
      </c>
      <c r="K48">
        <v>3.17</v>
      </c>
      <c r="L48">
        <v>3</v>
      </c>
      <c r="M48">
        <v>11</v>
      </c>
      <c r="N48" t="s">
        <v>103</v>
      </c>
      <c r="O48">
        <v>-5.38</v>
      </c>
      <c r="P48">
        <v>-0.24</v>
      </c>
      <c r="Q48" t="str">
        <f t="shared" si="1"/>
        <v>T</v>
      </c>
      <c r="R48" s="4">
        <f t="shared" si="2"/>
        <v>116000</v>
      </c>
    </row>
    <row r="49" spans="1:18" x14ac:dyDescent="0.2">
      <c r="A49">
        <v>46</v>
      </c>
      <c r="B49" s="1" t="s">
        <v>42</v>
      </c>
      <c r="C49" t="s">
        <v>161</v>
      </c>
      <c r="D49">
        <v>31</v>
      </c>
      <c r="E49" t="s">
        <v>13</v>
      </c>
      <c r="F49" s="2">
        <v>5400000</v>
      </c>
      <c r="G49" t="s">
        <v>32</v>
      </c>
      <c r="H49" t="s">
        <v>14</v>
      </c>
      <c r="I49">
        <v>53</v>
      </c>
      <c r="J49">
        <v>0.89200000000000002</v>
      </c>
      <c r="K49">
        <v>3.18</v>
      </c>
      <c r="L49">
        <v>1</v>
      </c>
      <c r="M49">
        <v>26</v>
      </c>
      <c r="N49" t="s">
        <v>43</v>
      </c>
      <c r="O49">
        <v>-8.17</v>
      </c>
      <c r="P49">
        <v>-0.15</v>
      </c>
      <c r="Q49" t="str">
        <f t="shared" si="1"/>
        <v>T</v>
      </c>
      <c r="R49" s="4">
        <f t="shared" si="2"/>
        <v>208000</v>
      </c>
    </row>
    <row r="50" spans="1:18" x14ac:dyDescent="0.2">
      <c r="A50">
        <v>47</v>
      </c>
      <c r="B50" s="1" t="s">
        <v>26</v>
      </c>
      <c r="C50" t="s">
        <v>160</v>
      </c>
      <c r="D50">
        <v>27</v>
      </c>
      <c r="E50" t="s">
        <v>13</v>
      </c>
      <c r="F50" s="2">
        <v>8250000</v>
      </c>
      <c r="G50" t="s">
        <v>27</v>
      </c>
      <c r="H50" t="s">
        <v>14</v>
      </c>
      <c r="I50">
        <v>58</v>
      </c>
      <c r="J50">
        <v>0.89200000000000002</v>
      </c>
      <c r="K50">
        <v>3.11</v>
      </c>
      <c r="L50">
        <v>4</v>
      </c>
      <c r="M50">
        <v>22</v>
      </c>
      <c r="N50" t="s">
        <v>28</v>
      </c>
      <c r="O50">
        <v>-9.1</v>
      </c>
      <c r="P50">
        <v>-0.16</v>
      </c>
      <c r="Q50" t="str">
        <f t="shared" si="1"/>
        <v>E</v>
      </c>
      <c r="R50" s="4">
        <f t="shared" si="2"/>
        <v>375000</v>
      </c>
    </row>
    <row r="51" spans="1:18" x14ac:dyDescent="0.2">
      <c r="A51">
        <v>48</v>
      </c>
      <c r="B51" s="1" t="s">
        <v>60</v>
      </c>
      <c r="C51" t="s">
        <v>154</v>
      </c>
      <c r="D51">
        <v>34</v>
      </c>
      <c r="E51" t="s">
        <v>13</v>
      </c>
      <c r="F51" s="2">
        <v>4250000</v>
      </c>
      <c r="G51" t="s">
        <v>15</v>
      </c>
      <c r="H51" t="s">
        <v>14</v>
      </c>
      <c r="I51">
        <v>38</v>
      </c>
      <c r="J51">
        <v>0.89100000000000001</v>
      </c>
      <c r="K51">
        <v>3.33</v>
      </c>
      <c r="L51">
        <v>1</v>
      </c>
      <c r="M51">
        <v>12</v>
      </c>
      <c r="N51" t="s">
        <v>61</v>
      </c>
      <c r="O51">
        <v>-13.97</v>
      </c>
      <c r="P51">
        <v>-0.4</v>
      </c>
      <c r="Q51" t="str">
        <f t="shared" si="1"/>
        <v>T</v>
      </c>
      <c r="R51" s="4">
        <f t="shared" si="2"/>
        <v>354000</v>
      </c>
    </row>
    <row r="52" spans="1:18" x14ac:dyDescent="0.2">
      <c r="A52">
        <v>49</v>
      </c>
      <c r="B52" s="1" t="s">
        <v>96</v>
      </c>
      <c r="C52" t="s">
        <v>146</v>
      </c>
      <c r="D52">
        <v>29</v>
      </c>
      <c r="E52" t="s">
        <v>13</v>
      </c>
      <c r="F52" s="2">
        <v>1800000</v>
      </c>
      <c r="G52" t="s">
        <v>23</v>
      </c>
      <c r="H52" t="s">
        <v>14</v>
      </c>
      <c r="I52">
        <v>29</v>
      </c>
      <c r="J52">
        <v>0.89</v>
      </c>
      <c r="K52">
        <v>2.82</v>
      </c>
      <c r="L52">
        <v>2</v>
      </c>
      <c r="M52">
        <v>16</v>
      </c>
      <c r="N52" t="s">
        <v>97</v>
      </c>
      <c r="O52">
        <v>0.61</v>
      </c>
      <c r="P52">
        <v>0.02</v>
      </c>
      <c r="Q52" t="str">
        <f t="shared" si="1"/>
        <v>T</v>
      </c>
      <c r="R52" s="4">
        <f t="shared" si="2"/>
        <v>113000</v>
      </c>
    </row>
    <row r="53" spans="1:18" x14ac:dyDescent="0.2">
      <c r="A53">
        <v>50</v>
      </c>
      <c r="B53" s="1" t="s">
        <v>48</v>
      </c>
      <c r="C53" t="s">
        <v>152</v>
      </c>
      <c r="D53">
        <v>30</v>
      </c>
      <c r="E53" t="s">
        <v>13</v>
      </c>
      <c r="F53" s="2">
        <v>5000000</v>
      </c>
      <c r="G53" t="s">
        <v>15</v>
      </c>
      <c r="H53" t="s">
        <v>14</v>
      </c>
      <c r="I53">
        <v>23</v>
      </c>
      <c r="J53">
        <v>0.88900000000000001</v>
      </c>
      <c r="K53">
        <v>2.9</v>
      </c>
      <c r="L53">
        <v>1</v>
      </c>
      <c r="M53">
        <v>10</v>
      </c>
      <c r="N53" t="s">
        <v>49</v>
      </c>
      <c r="O53">
        <v>1.44</v>
      </c>
      <c r="P53">
        <v>0.06</v>
      </c>
      <c r="Q53" t="str">
        <f t="shared" si="1"/>
        <v>T</v>
      </c>
      <c r="R53" s="4">
        <f t="shared" si="2"/>
        <v>500000</v>
      </c>
    </row>
    <row r="54" spans="1:18" x14ac:dyDescent="0.2">
      <c r="A54">
        <v>51</v>
      </c>
      <c r="B54" s="1" t="s">
        <v>55</v>
      </c>
      <c r="C54" t="s">
        <v>162</v>
      </c>
      <c r="D54">
        <v>26</v>
      </c>
      <c r="E54" t="s">
        <v>13</v>
      </c>
      <c r="F54" s="2">
        <v>4750000</v>
      </c>
      <c r="G54" t="s">
        <v>56</v>
      </c>
      <c r="H54" t="s">
        <v>14</v>
      </c>
      <c r="I54">
        <v>55</v>
      </c>
      <c r="J54">
        <v>0.88700000000000001</v>
      </c>
      <c r="K54">
        <v>3.2</v>
      </c>
      <c r="L54">
        <v>2</v>
      </c>
      <c r="M54">
        <v>24</v>
      </c>
      <c r="N54" t="s">
        <v>57</v>
      </c>
      <c r="O54">
        <v>-8.58</v>
      </c>
      <c r="P54">
        <v>-0.16</v>
      </c>
      <c r="Q54" t="str">
        <f t="shared" si="1"/>
        <v>T</v>
      </c>
      <c r="R54" s="4">
        <f t="shared" si="2"/>
        <v>198000</v>
      </c>
    </row>
    <row r="55" spans="1:18" x14ac:dyDescent="0.2">
      <c r="A55">
        <v>52</v>
      </c>
      <c r="B55" s="1" t="s">
        <v>110</v>
      </c>
      <c r="C55" t="s">
        <v>145</v>
      </c>
      <c r="D55">
        <v>33</v>
      </c>
      <c r="E55" t="s">
        <v>13</v>
      </c>
      <c r="F55" s="2">
        <v>1000000</v>
      </c>
      <c r="G55" t="s">
        <v>23</v>
      </c>
      <c r="H55" t="s">
        <v>14</v>
      </c>
      <c r="I55">
        <v>34</v>
      </c>
      <c r="J55">
        <v>0.88700000000000001</v>
      </c>
      <c r="K55">
        <v>2.84</v>
      </c>
      <c r="L55">
        <v>0</v>
      </c>
      <c r="M55">
        <v>16</v>
      </c>
      <c r="N55" t="s">
        <v>111</v>
      </c>
      <c r="O55">
        <v>-11.38</v>
      </c>
      <c r="P55">
        <v>-0.36</v>
      </c>
      <c r="Q55" t="str">
        <f t="shared" si="1"/>
        <v>T</v>
      </c>
      <c r="R55" s="4">
        <f t="shared" si="2"/>
        <v>63000</v>
      </c>
    </row>
    <row r="56" spans="1:18" x14ac:dyDescent="0.2">
      <c r="A56">
        <v>53</v>
      </c>
      <c r="B56" s="1" t="s">
        <v>72</v>
      </c>
      <c r="C56" t="s">
        <v>166</v>
      </c>
      <c r="D56">
        <v>30</v>
      </c>
      <c r="E56" t="s">
        <v>13</v>
      </c>
      <c r="F56" s="2">
        <v>3400000</v>
      </c>
      <c r="G56" t="s">
        <v>23</v>
      </c>
      <c r="H56" t="s">
        <v>14</v>
      </c>
      <c r="I56">
        <v>25</v>
      </c>
      <c r="J56">
        <v>0.88400000000000001</v>
      </c>
      <c r="K56">
        <v>3.63</v>
      </c>
      <c r="L56">
        <v>1</v>
      </c>
      <c r="M56">
        <v>5</v>
      </c>
      <c r="N56" t="s">
        <v>73</v>
      </c>
      <c r="O56">
        <v>-8.5299999999999994</v>
      </c>
      <c r="P56">
        <v>-0.36</v>
      </c>
      <c r="Q56" t="str">
        <f t="shared" si="1"/>
        <v>T</v>
      </c>
      <c r="R56" s="4">
        <f t="shared" si="2"/>
        <v>680000</v>
      </c>
    </row>
    <row r="57" spans="1:18" x14ac:dyDescent="0.2">
      <c r="A57">
        <v>54</v>
      </c>
      <c r="B57" s="1" t="s">
        <v>123</v>
      </c>
      <c r="C57" t="s">
        <v>158</v>
      </c>
      <c r="D57">
        <v>25</v>
      </c>
      <c r="E57" t="s">
        <v>13</v>
      </c>
      <c r="F57" s="2">
        <v>837500</v>
      </c>
      <c r="G57" t="s">
        <v>15</v>
      </c>
      <c r="H57" t="s">
        <v>19</v>
      </c>
      <c r="I57">
        <v>34</v>
      </c>
      <c r="J57">
        <v>0.88200000000000001</v>
      </c>
      <c r="K57">
        <v>3.18</v>
      </c>
      <c r="L57">
        <v>0</v>
      </c>
      <c r="M57">
        <v>15</v>
      </c>
      <c r="N57" t="s">
        <v>124</v>
      </c>
      <c r="O57">
        <v>-9.1</v>
      </c>
      <c r="P57">
        <v>-0.3</v>
      </c>
      <c r="Q57" t="str">
        <f t="shared" si="1"/>
        <v>T</v>
      </c>
      <c r="R57" s="4">
        <f t="shared" si="2"/>
        <v>56000</v>
      </c>
    </row>
    <row r="58" spans="1:18" x14ac:dyDescent="0.2">
      <c r="A58">
        <v>55</v>
      </c>
      <c r="B58" s="1" t="s">
        <v>100</v>
      </c>
      <c r="C58" t="s">
        <v>163</v>
      </c>
      <c r="D58">
        <v>26</v>
      </c>
      <c r="E58" t="s">
        <v>13</v>
      </c>
      <c r="F58" s="2">
        <v>1450000</v>
      </c>
      <c r="G58" t="s">
        <v>15</v>
      </c>
      <c r="H58" t="s">
        <v>19</v>
      </c>
      <c r="I58">
        <v>47</v>
      </c>
      <c r="J58">
        <v>0.88200000000000001</v>
      </c>
      <c r="K58">
        <v>3.14</v>
      </c>
      <c r="L58">
        <v>2</v>
      </c>
      <c r="M58">
        <v>22</v>
      </c>
      <c r="N58" t="s">
        <v>101</v>
      </c>
      <c r="O58">
        <v>-19.88</v>
      </c>
      <c r="P58">
        <v>-0.45</v>
      </c>
      <c r="Q58" t="str">
        <f t="shared" si="1"/>
        <v>T</v>
      </c>
      <c r="R58" s="4">
        <f t="shared" si="2"/>
        <v>66000</v>
      </c>
    </row>
    <row r="59" spans="1:18" x14ac:dyDescent="0.2">
      <c r="A59">
        <v>56</v>
      </c>
      <c r="B59" s="1" t="s">
        <v>94</v>
      </c>
      <c r="C59" t="s">
        <v>155</v>
      </c>
      <c r="D59">
        <v>28</v>
      </c>
      <c r="E59" t="s">
        <v>13</v>
      </c>
      <c r="F59" s="2">
        <v>1950000</v>
      </c>
      <c r="G59" t="s">
        <v>15</v>
      </c>
      <c r="H59" t="s">
        <v>14</v>
      </c>
      <c r="I59">
        <v>22</v>
      </c>
      <c r="J59">
        <v>0.88200000000000001</v>
      </c>
      <c r="K59">
        <v>3.27</v>
      </c>
      <c r="L59">
        <v>0</v>
      </c>
      <c r="M59">
        <v>9</v>
      </c>
      <c r="N59" t="s">
        <v>95</v>
      </c>
      <c r="O59">
        <v>-11.64</v>
      </c>
      <c r="P59">
        <v>-0.56999999999999995</v>
      </c>
      <c r="Q59" t="str">
        <f t="shared" si="1"/>
        <v>T</v>
      </c>
      <c r="R59" s="4">
        <f t="shared" si="2"/>
        <v>217000</v>
      </c>
    </row>
    <row r="60" spans="1:18" x14ac:dyDescent="0.2">
      <c r="A60">
        <v>57</v>
      </c>
      <c r="B60" s="1" t="s">
        <v>108</v>
      </c>
      <c r="C60" t="s">
        <v>148</v>
      </c>
      <c r="D60">
        <v>26</v>
      </c>
      <c r="E60" t="s">
        <v>13</v>
      </c>
      <c r="F60" s="2">
        <v>1050000</v>
      </c>
      <c r="G60" t="s">
        <v>23</v>
      </c>
      <c r="H60" t="s">
        <v>88</v>
      </c>
      <c r="I60">
        <v>20</v>
      </c>
      <c r="J60">
        <v>0.88100000000000001</v>
      </c>
      <c r="K60">
        <v>3.54</v>
      </c>
      <c r="L60">
        <v>1</v>
      </c>
      <c r="M60">
        <v>7</v>
      </c>
      <c r="N60" t="s">
        <v>109</v>
      </c>
      <c r="O60">
        <v>-4.3600000000000003</v>
      </c>
      <c r="P60">
        <v>-0.23</v>
      </c>
      <c r="Q60" t="str">
        <f t="shared" si="1"/>
        <v>T</v>
      </c>
      <c r="R60" s="4">
        <f t="shared" si="2"/>
        <v>150000</v>
      </c>
    </row>
    <row r="61" spans="1:18" x14ac:dyDescent="0.2">
      <c r="A61">
        <v>58</v>
      </c>
      <c r="B61" s="1" t="s">
        <v>38</v>
      </c>
      <c r="C61" t="s">
        <v>147</v>
      </c>
      <c r="D61">
        <v>34</v>
      </c>
      <c r="E61" t="s">
        <v>13</v>
      </c>
      <c r="F61" s="2">
        <v>5900000</v>
      </c>
      <c r="G61" t="s">
        <v>32</v>
      </c>
      <c r="H61" t="s">
        <v>14</v>
      </c>
      <c r="I61">
        <v>26</v>
      </c>
      <c r="J61">
        <v>0.875</v>
      </c>
      <c r="K61">
        <v>3.49</v>
      </c>
      <c r="L61">
        <v>0</v>
      </c>
      <c r="M61">
        <v>8</v>
      </c>
      <c r="N61" t="s">
        <v>39</v>
      </c>
      <c r="O61">
        <v>-16.3</v>
      </c>
      <c r="P61">
        <v>-0.66</v>
      </c>
      <c r="Q61" t="str">
        <f t="shared" si="1"/>
        <v>T</v>
      </c>
      <c r="R61" s="4">
        <f t="shared" si="2"/>
        <v>738000</v>
      </c>
    </row>
  </sheetData>
  <mergeCells count="17">
    <mergeCell ref="B1:B3"/>
    <mergeCell ref="C1:C3"/>
    <mergeCell ref="D1:D3"/>
    <mergeCell ref="E1:E3"/>
    <mergeCell ref="M1:M3"/>
    <mergeCell ref="I1:I3"/>
    <mergeCell ref="J1:J3"/>
    <mergeCell ref="K1:K3"/>
    <mergeCell ref="L1:L3"/>
    <mergeCell ref="R1:R3"/>
    <mergeCell ref="Q1:Q3"/>
    <mergeCell ref="F1:F3"/>
    <mergeCell ref="G1:G3"/>
    <mergeCell ref="H1:H3"/>
    <mergeCell ref="N1:N3"/>
    <mergeCell ref="O1:O3"/>
    <mergeCell ref="P1:P3"/>
  </mergeCells>
  <phoneticPr fontId="3" type="noConversion"/>
  <hyperlinks>
    <hyperlink ref="B4" r:id="rId1" display="https://puckpedia.com/player/anthony-stolarz" xr:uid="{621CC9BE-2BEA-174B-9CF4-E8BF68D52EDA}"/>
    <hyperlink ref="B5" r:id="rId2" display="https://puckpedia.com/player/connor-hellebuyck" xr:uid="{E31F32F0-829D-1D40-942A-0F535C1C38E5}"/>
    <hyperlink ref="B6" r:id="rId3" display="https://puckpedia.com/player/darcy-kuemper" xr:uid="{2F40BE5F-F3D9-A94F-B801-92BEE91D01A8}"/>
    <hyperlink ref="B7" r:id="rId4" display="https://puckpedia.com/player/andrei-vasilevskiy" xr:uid="{ACE52DA5-185E-6447-9F97-87F7AF155E32}"/>
    <hyperlink ref="B8" r:id="rId5" display="https://puckpedia.com/player/casey-desmith" xr:uid="{E332D8E4-D09A-1740-AB5C-5AD349F78A0F}"/>
    <hyperlink ref="B9" r:id="rId6" display="https://puckpedia.com/player/eric-comrie" xr:uid="{10A2430B-DDEA-B749-8A96-CC8F590CDB87}"/>
    <hyperlink ref="B10" r:id="rId7" display="https://puckpedia.com/player/filip-gustavsson" xr:uid="{D7B3F42D-B37E-6D4A-AF3D-FC021E3E3040}"/>
    <hyperlink ref="B11" r:id="rId8" display="https://puckpedia.com/player/mackenzie-blackwood" xr:uid="{89FDAE31-DD93-D742-81B2-FB2FB85296EA}"/>
    <hyperlink ref="B12" r:id="rId9" display="https://puckpedia.com/player/john-gibson" xr:uid="{455A2DDB-4E9E-6A45-B84F-F44AD7DFA218}"/>
    <hyperlink ref="B13" r:id="rId10" display="https://puckpedia.com/player/logan-thompson" xr:uid="{A6FEB425-A480-284D-B4F4-29D1FE6BEB82}"/>
    <hyperlink ref="B14" r:id="rId11" display="https://puckpedia.com/player/linus-ullmark" xr:uid="{CA9B0EBE-D0A9-C346-9DE9-893238F6BAF1}"/>
    <hyperlink ref="B15" r:id="rId12" display="https://puckpedia.com/player/dustin-wolf" xr:uid="{CBB0BD8B-659D-8E47-BA26-38E0B91207CA}"/>
    <hyperlink ref="B16" r:id="rId13" display="https://puckpedia.com/player/jake-oettinger" xr:uid="{9B70D584-2DDE-AE43-98C5-FA5D9F69B59A}"/>
    <hyperlink ref="B17" r:id="rId14" display="https://puckpedia.com/player/joseph-woll" xr:uid="{23E9C844-A298-4043-A203-D424C1FE7A55}"/>
    <hyperlink ref="B18" r:id="rId15" display="https://puckpedia.com/player/jake-allen" xr:uid="{2E8AA2F1-DFB9-834C-95C2-EF2D9889D3A9}"/>
    <hyperlink ref="B19" r:id="rId16" display="https://puckpedia.com/player/scott-wedgewood" xr:uid="{5FE7703D-C5A7-6A47-B7EA-5B160F7706D0}"/>
    <hyperlink ref="B20" r:id="rId17" display="https://puckpedia.com/player/sergei-bobrovsky" xr:uid="{31D04EF1-D0A6-B443-BCD7-2316E2A8854C}"/>
    <hyperlink ref="B21" r:id="rId18" display="https://puckpedia.com/player/joel-daccord" xr:uid="{FB07CB83-3015-6A45-8A15-F50334D29848}"/>
    <hyperlink ref="B22" r:id="rId19" display="https://puckpedia.com/player/adin-hill" xr:uid="{CF1105C2-3056-484F-8350-6FEFB9EBF3A7}"/>
    <hyperlink ref="B23" r:id="rId20" display="https://puckpedia.com/player/ilya-sorokin" xr:uid="{51D5A89A-F3A6-9547-AA87-00B980CD19BF}"/>
    <hyperlink ref="B24" r:id="rId21" display="https://puckpedia.com/player/igor-shesterkin" xr:uid="{F9828098-1DB0-1A40-AB09-6741773BF7DC}"/>
    <hyperlink ref="B25" r:id="rId22" display="https://puckpedia.com/player/joel-hofer" xr:uid="{A404809A-ADFE-D445-94B8-AD3BD6A13105}"/>
    <hyperlink ref="B26" r:id="rId23" display="https://puckpedia.com/player/karel-vejmelka" xr:uid="{33286546-027A-5B46-BB85-35CA6F821D01}"/>
    <hyperlink ref="B27" r:id="rId24" display="https://puckpedia.com/player/lukas-dostal" xr:uid="{CA6EC885-0D03-C645-9A7B-CB05CAAE489D}"/>
    <hyperlink ref="B28" r:id="rId25" display="https://puckpedia.com/player/spencer-knight" xr:uid="{4EFB28E4-CFF1-564F-9119-CABFF1C948A7}"/>
    <hyperlink ref="B29" r:id="rId26" display="https://puckpedia.com/player/kevin-lankinen" xr:uid="{2D02A053-0E8E-AA4F-8C2D-D9EF3F6E8C7E}"/>
    <hyperlink ref="B30" r:id="rId27" display="https://puckpedia.com/player/sam-montembeault" xr:uid="{9CD1030F-645C-6942-9760-8AA6C0370B84}"/>
    <hyperlink ref="B31" r:id="rId28" display="https://puckpedia.com/player/anton-forsberg" xr:uid="{F2948298-C761-B84D-AB66-055182C2379D}"/>
    <hyperlink ref="B32" r:id="rId29" display="https://puckpedia.com/player/cam-talbot" xr:uid="{A2DD1425-11A0-BB4A-951D-0DFB8F63CCC1}"/>
    <hyperlink ref="B33" r:id="rId30" display="https://puckpedia.com/player/jordan-binnington" xr:uid="{BA713843-E973-F446-B636-E7A27392DE85}"/>
    <hyperlink ref="B34" r:id="rId31" display="https://puckpedia.com/player/jacob-markstrom" xr:uid="{CF426754-0410-2A45-871B-2FFFEEB08586}"/>
    <hyperlink ref="B35" r:id="rId32" display="https://puckpedia.com/player/marc-andre-fleury" xr:uid="{06028225-494C-6943-9194-CBF38CA4229F}"/>
    <hyperlink ref="B36" r:id="rId33" display="https://puckpedia.com/player/frederik-andersen" xr:uid="{E8CD64C2-A543-0E40-AEE7-CD00C552B415}"/>
    <hyperlink ref="B37" r:id="rId34" display="https://puckpedia.com/player/pyotr-kochetkov" xr:uid="{468E06D2-4AE2-5D4C-B5AC-5CC6E2E7065C}"/>
    <hyperlink ref="B38" r:id="rId35" display="https://puckpedia.com/player/arvid-soderblom" xr:uid="{53CED994-7050-D04C-A881-7D010F5097ED}"/>
    <hyperlink ref="B39" r:id="rId36" display="https://puckpedia.com/player/dan-vladar" xr:uid="{39C3204C-380E-A74F-BEA2-4F4AD90C3D9C}"/>
    <hyperlink ref="B40" r:id="rId37" display="https://puckpedia.com/player/james-reimer" xr:uid="{D229C442-F9B1-6042-B96A-11C2476BB0A9}"/>
    <hyperlink ref="B41" r:id="rId38" display="https://puckpedia.com/player/charlie-lindgren" xr:uid="{50010B49-1A75-3144-865C-D0B619CF1EF4}"/>
    <hyperlink ref="B42" r:id="rId39" display="https://puckpedia.com/player/alex-lyon" xr:uid="{AE14C591-DBC5-774A-9DD3-DDD8F286372D}"/>
    <hyperlink ref="B43" r:id="rId40" display="https://puckpedia.com/player/juuse-saros" xr:uid="{E0E4FB3F-1951-584E-8583-0B98F38E9B96}"/>
    <hyperlink ref="B44" r:id="rId41" display="https://puckpedia.com/player/stuart-skinner" xr:uid="{725987D5-0624-2846-A5BF-533EEA4335E9}"/>
    <hyperlink ref="B45" r:id="rId42" display="https://puckpedia.com/player/alex-nedeljkovic" xr:uid="{9B8DFE40-7F2C-4940-A907-95F839812868}"/>
    <hyperlink ref="B46" r:id="rId43" display="https://puckpedia.com/player/tristan-jarry" xr:uid="{04D59C81-1C7C-EE42-B5B6-5B23F1F68575}"/>
    <hyperlink ref="B47" r:id="rId44" display="https://puckpedia.com/player/joonas-korpisalo" xr:uid="{7A223480-B779-F841-877A-CAEDB1F5AA4A}"/>
    <hyperlink ref="B48" r:id="rId45" display="https://puckpedia.com/player/jonathan-quick" xr:uid="{08CED5F3-D670-DB46-AAC0-E43A94743648}"/>
    <hyperlink ref="B49" r:id="rId46" display="https://puckpedia.com/player/elvis-merzlikins" xr:uid="{882898FE-4502-0F48-9EA3-789CEFA08250}"/>
    <hyperlink ref="B50" r:id="rId47" display="https://puckpedia.com/player/jeremy-swayman" xr:uid="{60D58EAF-0DB2-0D42-8D0A-AB5DCA0F171E}"/>
    <hyperlink ref="B51" r:id="rId48" display="https://puckpedia.com/player/petr-mrazek" xr:uid="{36D22FD0-ECB1-D44C-91CC-0F2A1007A861}"/>
    <hyperlink ref="B52" r:id="rId49" display="https://puckpedia.com/player/ilya-samsonov" xr:uid="{FBFCA11B-4F48-794B-A277-07382B410C02}"/>
    <hyperlink ref="B53" r:id="rId50" display="https://puckpedia.com/player/thatcher-demko" xr:uid="{E18E75A3-510D-3642-8E0F-AB53CF0F96E2}"/>
    <hyperlink ref="B54" r:id="rId51" display="https://puckpedia.com/player/ukko-pekka-luukkonen" xr:uid="{F0722625-696E-BA48-8AF5-4626DED005CA}"/>
    <hyperlink ref="B55" r:id="rId52" display="https://puckpedia.com/player/david-rittich" xr:uid="{DCC46373-4765-AC49-B32E-3C2ECFF587A9}"/>
    <hyperlink ref="B56" r:id="rId53" display="https://puckpedia.com/player/vitek-vanecek" xr:uid="{3C885D8E-9346-7B4A-A4B0-25535725373A}"/>
    <hyperlink ref="B57" r:id="rId54" display="https://puckpedia.com/player/justus-annunen" xr:uid="{C59584C3-982F-2F4E-8B6B-4264D73835C5}"/>
    <hyperlink ref="B58" r:id="rId55" display="https://puckpedia.com/player/samuel-ersson" xr:uid="{064F259E-43B2-4049-9BE8-02E7F4442219}"/>
    <hyperlink ref="B59" r:id="rId56" display="https://puckpedia.com/player/connor-ingram" xr:uid="{B3F24A22-FC9E-5E4A-84F2-A370AFF46B5A}"/>
    <hyperlink ref="B60" r:id="rId57" display="https://puckpedia.com/player/daniil-tarasov" xr:uid="{27E88223-9FA0-9F4E-BBC8-A574B8D8B523}"/>
    <hyperlink ref="B61" r:id="rId58" display="https://puckpedia.com/player/philipp-grubauer" xr:uid="{1520316E-6A20-5F4E-8009-2CB31A06A2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E066-E60F-9341-AEE8-F863C5308C22}">
  <dimension ref="A1:A61"/>
  <sheetViews>
    <sheetView workbookViewId="0">
      <selection activeCell="C10" sqref="C10"/>
    </sheetView>
  </sheetViews>
  <sheetFormatPr baseColWidth="10" defaultRowHeight="16" x14ac:dyDescent="0.2"/>
  <cols>
    <col min="1" max="1" width="28.5" customWidth="1"/>
  </cols>
  <sheetData>
    <row r="1" spans="1:1" x14ac:dyDescent="0.2">
      <c r="A1" s="5" t="s">
        <v>167</v>
      </c>
    </row>
    <row r="2" spans="1:1" x14ac:dyDescent="0.2">
      <c r="A2" s="6"/>
    </row>
    <row r="3" spans="1:1" x14ac:dyDescent="0.2">
      <c r="A3" s="5"/>
    </row>
    <row r="4" spans="1:1" x14ac:dyDescent="0.2">
      <c r="A4" s="1" t="s">
        <v>86</v>
      </c>
    </row>
    <row r="5" spans="1:1" x14ac:dyDescent="0.2">
      <c r="A5" s="1" t="s">
        <v>22</v>
      </c>
    </row>
    <row r="6" spans="1:1" x14ac:dyDescent="0.2">
      <c r="A6" s="1" t="s">
        <v>46</v>
      </c>
    </row>
    <row r="7" spans="1:1" x14ac:dyDescent="0.2">
      <c r="A7" s="1" t="s">
        <v>18</v>
      </c>
    </row>
    <row r="8" spans="1:1" x14ac:dyDescent="0.2">
      <c r="A8" s="1" t="s">
        <v>113</v>
      </c>
    </row>
    <row r="9" spans="1:1" x14ac:dyDescent="0.2">
      <c r="A9" s="1" t="s">
        <v>125</v>
      </c>
    </row>
    <row r="10" spans="1:1" x14ac:dyDescent="0.2">
      <c r="A10" s="1" t="s">
        <v>68</v>
      </c>
    </row>
    <row r="11" spans="1:1" x14ac:dyDescent="0.2">
      <c r="A11" s="1" t="s">
        <v>87</v>
      </c>
    </row>
    <row r="12" spans="1:1" x14ac:dyDescent="0.2">
      <c r="A12" s="1" t="s">
        <v>31</v>
      </c>
    </row>
    <row r="13" spans="1:1" x14ac:dyDescent="0.2">
      <c r="A13" s="1" t="s">
        <v>130</v>
      </c>
    </row>
    <row r="14" spans="1:1" x14ac:dyDescent="0.2">
      <c r="A14" s="1" t="s">
        <v>51</v>
      </c>
    </row>
    <row r="15" spans="1:1" x14ac:dyDescent="0.2">
      <c r="A15" s="1" t="s">
        <v>121</v>
      </c>
    </row>
    <row r="16" spans="1:1" x14ac:dyDescent="0.2">
      <c r="A16" s="1" t="s">
        <v>62</v>
      </c>
    </row>
    <row r="17" spans="1:1" x14ac:dyDescent="0.2">
      <c r="A17" s="1" t="s">
        <v>132</v>
      </c>
    </row>
    <row r="18" spans="1:1" x14ac:dyDescent="0.2">
      <c r="A18" s="1" t="s">
        <v>66</v>
      </c>
    </row>
    <row r="19" spans="1:1" x14ac:dyDescent="0.2">
      <c r="A19" s="1" t="s">
        <v>98</v>
      </c>
    </row>
    <row r="20" spans="1:1" x14ac:dyDescent="0.2">
      <c r="A20" s="1" t="s">
        <v>16</v>
      </c>
    </row>
    <row r="21" spans="1:1" x14ac:dyDescent="0.2">
      <c r="A21" s="1" t="s">
        <v>104</v>
      </c>
    </row>
    <row r="22" spans="1:1" x14ac:dyDescent="0.2">
      <c r="A22" s="1" t="s">
        <v>53</v>
      </c>
    </row>
    <row r="23" spans="1:1" x14ac:dyDescent="0.2">
      <c r="A23" s="1" t="s">
        <v>29</v>
      </c>
    </row>
    <row r="24" spans="1:1" x14ac:dyDescent="0.2">
      <c r="A24" s="1" t="s">
        <v>40</v>
      </c>
    </row>
    <row r="25" spans="1:1" x14ac:dyDescent="0.2">
      <c r="A25" s="1" t="s">
        <v>128</v>
      </c>
    </row>
    <row r="26" spans="1:1" x14ac:dyDescent="0.2">
      <c r="A26" s="1" t="s">
        <v>77</v>
      </c>
    </row>
    <row r="27" spans="1:1" x14ac:dyDescent="0.2">
      <c r="A27" s="1" t="s">
        <v>127</v>
      </c>
    </row>
    <row r="28" spans="1:1" x14ac:dyDescent="0.2">
      <c r="A28" s="1" t="s">
        <v>58</v>
      </c>
    </row>
    <row r="29" spans="1:1" x14ac:dyDescent="0.2">
      <c r="A29" s="1" t="s">
        <v>119</v>
      </c>
    </row>
    <row r="30" spans="1:1" x14ac:dyDescent="0.2">
      <c r="A30" s="1" t="s">
        <v>74</v>
      </c>
    </row>
    <row r="31" spans="1:1" x14ac:dyDescent="0.2">
      <c r="A31" s="1" t="s">
        <v>76</v>
      </c>
    </row>
    <row r="32" spans="1:1" x14ac:dyDescent="0.2">
      <c r="A32" s="1" t="s">
        <v>84</v>
      </c>
    </row>
    <row r="33" spans="1:1" x14ac:dyDescent="0.2">
      <c r="A33" s="1" t="s">
        <v>36</v>
      </c>
    </row>
    <row r="34" spans="1:1" x14ac:dyDescent="0.2">
      <c r="A34" s="1" t="s">
        <v>34</v>
      </c>
    </row>
    <row r="35" spans="1:1" x14ac:dyDescent="0.2">
      <c r="A35" s="1" t="s">
        <v>83</v>
      </c>
    </row>
    <row r="36" spans="1:1" x14ac:dyDescent="0.2">
      <c r="A36" s="1" t="s">
        <v>70</v>
      </c>
    </row>
    <row r="37" spans="1:1" x14ac:dyDescent="0.2">
      <c r="A37" s="1" t="s">
        <v>92</v>
      </c>
    </row>
    <row r="38" spans="1:1" x14ac:dyDescent="0.2">
      <c r="A38" s="1" t="s">
        <v>115</v>
      </c>
    </row>
    <row r="39" spans="1:1" x14ac:dyDescent="0.2">
      <c r="A39" s="1" t="s">
        <v>90</v>
      </c>
    </row>
    <row r="40" spans="1:1" x14ac:dyDescent="0.2">
      <c r="A40" s="1" t="s">
        <v>112</v>
      </c>
    </row>
    <row r="41" spans="1:1" x14ac:dyDescent="0.2">
      <c r="A41" s="1" t="s">
        <v>106</v>
      </c>
    </row>
    <row r="42" spans="1:1" x14ac:dyDescent="0.2">
      <c r="A42" s="1" t="s">
        <v>117</v>
      </c>
    </row>
    <row r="43" spans="1:1" x14ac:dyDescent="0.2">
      <c r="A43" s="1" t="s">
        <v>50</v>
      </c>
    </row>
    <row r="44" spans="1:1" x14ac:dyDescent="0.2">
      <c r="A44" s="1" t="s">
        <v>79</v>
      </c>
    </row>
    <row r="45" spans="1:1" x14ac:dyDescent="0.2">
      <c r="A45" s="1" t="s">
        <v>81</v>
      </c>
    </row>
    <row r="46" spans="1:1" x14ac:dyDescent="0.2">
      <c r="A46" s="1" t="s">
        <v>44</v>
      </c>
    </row>
    <row r="47" spans="1:1" x14ac:dyDescent="0.2">
      <c r="A47" s="1" t="s">
        <v>64</v>
      </c>
    </row>
    <row r="48" spans="1:1" x14ac:dyDescent="0.2">
      <c r="A48" s="1" t="s">
        <v>102</v>
      </c>
    </row>
    <row r="49" spans="1:1" x14ac:dyDescent="0.2">
      <c r="A49" s="1" t="s">
        <v>42</v>
      </c>
    </row>
    <row r="50" spans="1:1" x14ac:dyDescent="0.2">
      <c r="A50" s="1" t="s">
        <v>26</v>
      </c>
    </row>
    <row r="51" spans="1:1" x14ac:dyDescent="0.2">
      <c r="A51" s="1" t="s">
        <v>60</v>
      </c>
    </row>
    <row r="52" spans="1:1" x14ac:dyDescent="0.2">
      <c r="A52" s="1" t="s">
        <v>96</v>
      </c>
    </row>
    <row r="53" spans="1:1" x14ac:dyDescent="0.2">
      <c r="A53" s="1" t="s">
        <v>48</v>
      </c>
    </row>
    <row r="54" spans="1:1" x14ac:dyDescent="0.2">
      <c r="A54" s="1" t="s">
        <v>55</v>
      </c>
    </row>
    <row r="55" spans="1:1" x14ac:dyDescent="0.2">
      <c r="A55" s="1" t="s">
        <v>110</v>
      </c>
    </row>
    <row r="56" spans="1:1" x14ac:dyDescent="0.2">
      <c r="A56" s="1" t="s">
        <v>72</v>
      </c>
    </row>
    <row r="57" spans="1:1" x14ac:dyDescent="0.2">
      <c r="A57" s="1" t="s">
        <v>123</v>
      </c>
    </row>
    <row r="58" spans="1:1" x14ac:dyDescent="0.2">
      <c r="A58" s="1" t="s">
        <v>100</v>
      </c>
    </row>
    <row r="59" spans="1:1" x14ac:dyDescent="0.2">
      <c r="A59" s="1" t="s">
        <v>94</v>
      </c>
    </row>
    <row r="60" spans="1:1" x14ac:dyDescent="0.2">
      <c r="A60" s="1" t="s">
        <v>108</v>
      </c>
    </row>
    <row r="61" spans="1:1" x14ac:dyDescent="0.2">
      <c r="A61" s="1" t="s">
        <v>38</v>
      </c>
    </row>
  </sheetData>
  <mergeCells count="1">
    <mergeCell ref="A1:A3"/>
  </mergeCells>
  <hyperlinks>
    <hyperlink ref="A4" r:id="rId1" display="https://puckpedia.com/player/anthony-stolarz" xr:uid="{F1C86921-48B9-F448-A003-AFD8840C78F9}"/>
    <hyperlink ref="A5" r:id="rId2" display="https://puckpedia.com/player/connor-hellebuyck" xr:uid="{B3F54E5A-BE63-1A44-B8E9-04CFAA6596CA}"/>
    <hyperlink ref="A6" r:id="rId3" display="https://puckpedia.com/player/darcy-kuemper" xr:uid="{3225E390-082C-414D-A494-932F8E07DC43}"/>
    <hyperlink ref="A7" r:id="rId4" display="https://puckpedia.com/player/andrei-vasilevskiy" xr:uid="{3A68D2AE-95A2-C546-80F1-4C63630CD89E}"/>
    <hyperlink ref="A8" r:id="rId5" display="https://puckpedia.com/player/casey-desmith" xr:uid="{D5751167-246A-8542-AE0A-17A3055AA1FE}"/>
    <hyperlink ref="A9" r:id="rId6" display="https://puckpedia.com/player/eric-comrie" xr:uid="{3B98C113-1F82-2041-947E-9F72F46681C3}"/>
    <hyperlink ref="A10" r:id="rId7" display="https://puckpedia.com/player/filip-gustavsson" xr:uid="{FCA52264-2476-2E40-930C-F6F93C61004A}"/>
    <hyperlink ref="A11" r:id="rId8" display="https://puckpedia.com/player/mackenzie-blackwood" xr:uid="{E23536B1-640D-6B42-BF63-AE41551DD24F}"/>
    <hyperlink ref="A12" r:id="rId9" display="https://puckpedia.com/player/john-gibson" xr:uid="{2E634351-001B-A842-962E-D85EF3FDC421}"/>
    <hyperlink ref="A13" r:id="rId10" display="https://puckpedia.com/player/logan-thompson" xr:uid="{511EB7E2-84D6-CC43-B404-395A17E6CB12}"/>
    <hyperlink ref="A14" r:id="rId11" display="https://puckpedia.com/player/linus-ullmark" xr:uid="{85E0EA3B-1DF4-884A-82FB-A0CC4A5EAF56}"/>
    <hyperlink ref="A15" r:id="rId12" display="https://puckpedia.com/player/dustin-wolf" xr:uid="{0C2428A2-F9F9-CE4D-B9D1-556A1310FA19}"/>
    <hyperlink ref="A16" r:id="rId13" display="https://puckpedia.com/player/jake-oettinger" xr:uid="{7D7C4690-C64D-4E4B-BEEF-6D51A834A4E1}"/>
    <hyperlink ref="A17" r:id="rId14" display="https://puckpedia.com/player/joseph-woll" xr:uid="{053BBD48-E137-204A-9E09-066B6F2F08AE}"/>
    <hyperlink ref="A18" r:id="rId15" display="https://puckpedia.com/player/jake-allen" xr:uid="{EEEA15CD-B6B9-4344-BBCA-DCA129AA0A97}"/>
    <hyperlink ref="A19" r:id="rId16" display="https://puckpedia.com/player/scott-wedgewood" xr:uid="{F1A41B85-2DEB-7643-8661-EA548F2D1EC7}"/>
    <hyperlink ref="A20" r:id="rId17" display="https://puckpedia.com/player/sergei-bobrovsky" xr:uid="{0C56B9AE-4D2B-0B4E-BA76-3DEDCE7602FD}"/>
    <hyperlink ref="A21" r:id="rId18" display="https://puckpedia.com/player/joel-daccord" xr:uid="{6B8668F7-8308-D747-845F-7294FF8D8EE7}"/>
    <hyperlink ref="A22" r:id="rId19" display="https://puckpedia.com/player/adin-hill" xr:uid="{8C81A87F-9515-B04D-8AFC-5721D4B8CE98}"/>
    <hyperlink ref="A23" r:id="rId20" display="https://puckpedia.com/player/ilya-sorokin" xr:uid="{EA64CC4E-B658-584B-B0DA-7E5B1BDE7EFC}"/>
    <hyperlink ref="A24" r:id="rId21" display="https://puckpedia.com/player/igor-shesterkin" xr:uid="{AE2D9EFB-2DA2-9B4F-B0B3-4E09CEC66953}"/>
    <hyperlink ref="A25" r:id="rId22" display="https://puckpedia.com/player/joel-hofer" xr:uid="{E1E3DAB7-3CF6-CB4E-B51F-529C63C38429}"/>
    <hyperlink ref="A26" r:id="rId23" display="https://puckpedia.com/player/karel-vejmelka" xr:uid="{149002C1-B81B-9147-BE95-C4D1668747EC}"/>
    <hyperlink ref="A27" r:id="rId24" display="https://puckpedia.com/player/lukas-dostal" xr:uid="{1324722C-FF01-5B44-8DF0-59B45BD533CA}"/>
    <hyperlink ref="A28" r:id="rId25" display="https://puckpedia.com/player/spencer-knight" xr:uid="{2371B2A2-D72F-334D-8DF9-46285531CE5A}"/>
    <hyperlink ref="A29" r:id="rId26" display="https://puckpedia.com/player/kevin-lankinen" xr:uid="{4E2CD8A2-0EE4-9049-8A26-C5BC41DE4279}"/>
    <hyperlink ref="A30" r:id="rId27" display="https://puckpedia.com/player/sam-montembeault" xr:uid="{2482A2EC-A4F9-BB4A-8DDE-F436B1F5DBD9}"/>
    <hyperlink ref="A31" r:id="rId28" display="https://puckpedia.com/player/anton-forsberg" xr:uid="{5B810176-837F-3F43-AEDD-3DF0DF5E52C1}"/>
    <hyperlink ref="A32" r:id="rId29" display="https://puckpedia.com/player/cam-talbot" xr:uid="{9D20DBE5-9A26-2449-9EC7-3029DC2AAAF9}"/>
    <hyperlink ref="A33" r:id="rId30" display="https://puckpedia.com/player/jordan-binnington" xr:uid="{EC0E761E-3F79-8543-BDFE-81884E58BF03}"/>
    <hyperlink ref="A34" r:id="rId31" display="https://puckpedia.com/player/jacob-markstrom" xr:uid="{FFF84F64-3DE9-7642-BFFD-B0C47D9827EF}"/>
    <hyperlink ref="A35" r:id="rId32" display="https://puckpedia.com/player/marc-andre-fleury" xr:uid="{2B201CF5-974F-6947-AE2D-31B2896A534C}"/>
    <hyperlink ref="A36" r:id="rId33" display="https://puckpedia.com/player/frederik-andersen" xr:uid="{4B0687CE-5199-EB4E-8C53-B9CD902489F2}"/>
    <hyperlink ref="A37" r:id="rId34" display="https://puckpedia.com/player/pyotr-kochetkov" xr:uid="{149166F9-BE0B-3A49-9857-846180B7232E}"/>
    <hyperlink ref="A38" r:id="rId35" display="https://puckpedia.com/player/arvid-soderblom" xr:uid="{453A198D-4917-2A42-B703-A17E10F8A067}"/>
    <hyperlink ref="A39" r:id="rId36" display="https://puckpedia.com/player/dan-vladar" xr:uid="{95DDD010-6E80-354F-BDE5-66C6CB7E42F2}"/>
    <hyperlink ref="A40" r:id="rId37" display="https://puckpedia.com/player/james-reimer" xr:uid="{4617D4D3-700E-D642-A001-256E1665FFBE}"/>
    <hyperlink ref="A41" r:id="rId38" display="https://puckpedia.com/player/charlie-lindgren" xr:uid="{951AA6F7-380A-804F-98B5-CBE6C8CD8482}"/>
    <hyperlink ref="A42" r:id="rId39" display="https://puckpedia.com/player/alex-lyon" xr:uid="{A428B4AD-C04A-4642-ABF8-36AF82895981}"/>
    <hyperlink ref="A43" r:id="rId40" display="https://puckpedia.com/player/juuse-saros" xr:uid="{5499EDC5-F33E-664C-B3FB-436A08774802}"/>
    <hyperlink ref="A44" r:id="rId41" display="https://puckpedia.com/player/stuart-skinner" xr:uid="{054B8E81-BADD-524A-943C-09D9A22958F6}"/>
    <hyperlink ref="A45" r:id="rId42" display="https://puckpedia.com/player/alex-nedeljkovic" xr:uid="{319F20BD-47EC-6E4F-B50D-CC7B0E934315}"/>
    <hyperlink ref="A46" r:id="rId43" display="https://puckpedia.com/player/tristan-jarry" xr:uid="{BD5BE58D-42BF-1A42-9D6B-169995C0D156}"/>
    <hyperlink ref="A47" r:id="rId44" display="https://puckpedia.com/player/joonas-korpisalo" xr:uid="{C52CF111-CCF6-6445-9A63-0A568398DB1B}"/>
    <hyperlink ref="A48" r:id="rId45" display="https://puckpedia.com/player/jonathan-quick" xr:uid="{6ADC2FFD-CA81-2D4F-A72E-343AA5E47640}"/>
    <hyperlink ref="A49" r:id="rId46" display="https://puckpedia.com/player/elvis-merzlikins" xr:uid="{7CB8EFD2-762D-5A4E-A352-FD6C0B1E9CF1}"/>
    <hyperlink ref="A50" r:id="rId47" display="https://puckpedia.com/player/jeremy-swayman" xr:uid="{70A9B0FF-4E1F-8F4A-A231-5C1EDF879283}"/>
    <hyperlink ref="A51" r:id="rId48" display="https://puckpedia.com/player/petr-mrazek" xr:uid="{555ECAC6-F5B3-E64F-8498-C81B2BA3BF5C}"/>
    <hyperlink ref="A52" r:id="rId49" display="https://puckpedia.com/player/ilya-samsonov" xr:uid="{4C2661F6-0899-E14D-826A-D061B7792304}"/>
    <hyperlink ref="A53" r:id="rId50" display="https://puckpedia.com/player/thatcher-demko" xr:uid="{619992C5-5D89-DA4A-A1A7-308DB6A7B5D6}"/>
    <hyperlink ref="A54" r:id="rId51" display="https://puckpedia.com/player/ukko-pekka-luukkonen" xr:uid="{33EAA4B1-81CE-0B48-B6F5-B632361BD074}"/>
    <hyperlink ref="A55" r:id="rId52" display="https://puckpedia.com/player/david-rittich" xr:uid="{C58651BC-1FAF-9C42-BF6D-00CF942E7E7E}"/>
    <hyperlink ref="A56" r:id="rId53" display="https://puckpedia.com/player/vitek-vanecek" xr:uid="{5D41916B-95BB-0C41-8850-98C096FC7225}"/>
    <hyperlink ref="A57" r:id="rId54" display="https://puckpedia.com/player/justus-annunen" xr:uid="{6AD5B0FB-7CB6-4148-8DD5-25F031ABA370}"/>
    <hyperlink ref="A58" r:id="rId55" display="https://puckpedia.com/player/samuel-ersson" xr:uid="{99CC9B2F-C119-414C-825E-023E19CA2BEE}"/>
    <hyperlink ref="A59" r:id="rId56" display="https://puckpedia.com/player/connor-ingram" xr:uid="{04F03EC6-7E39-3B4D-A829-B29B4A95D1A1}"/>
    <hyperlink ref="A60" r:id="rId57" display="https://puckpedia.com/player/daniil-tarasov" xr:uid="{B8559A48-CA87-0643-AC9C-0D9EDB22D952}"/>
    <hyperlink ref="A61" r:id="rId58" display="https://puckpedia.com/player/philipp-grubauer" xr:uid="{9369F66A-89F3-B647-85F7-750A9CBF9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Regression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2026-03-02T18:39:58Z</dcterms:created>
  <dcterms:modified xsi:type="dcterms:W3CDTF">2026-03-23T19:12:22Z</dcterms:modified>
</cp:coreProperties>
</file>