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fxca-my.sharepoint.com/personal/x2022dwy_stfx_ca/Documents/482 Term Project Data/"/>
    </mc:Choice>
  </mc:AlternateContent>
  <xr:revisionPtr revIDLastSave="141" documentId="8_{5864180F-A689-9747-8B6A-158B31F47EEF}" xr6:coauthVersionLast="47" xr6:coauthVersionMax="47" xr10:uidLastSave="{72D93BAB-CBD0-9D4F-9FD8-B8A57E92C529}"/>
  <bookViews>
    <workbookView xWindow="0" yWindow="780" windowWidth="19200" windowHeight="22480" activeTab="1" xr2:uid="{00000000-000D-0000-FFFF-FFFF00000000}"/>
  </bookViews>
  <sheets>
    <sheet name="Summary" sheetId="1" r:id="rId1"/>
    <sheet name="Reg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2" i="1"/>
</calcChain>
</file>

<file path=xl/sharedStrings.xml><?xml version="1.0" encoding="utf-8"?>
<sst xmlns="http://schemas.openxmlformats.org/spreadsheetml/2006/main" count="406" uniqueCount="260">
  <si>
    <t>Player</t>
  </si>
  <si>
    <t>Season</t>
  </si>
  <si>
    <t>Team</t>
  </si>
  <si>
    <t>S/C</t>
  </si>
  <si>
    <t>GP</t>
  </si>
  <si>
    <t>GS</t>
  </si>
  <si>
    <t>W</t>
  </si>
  <si>
    <t>L</t>
  </si>
  <si>
    <t>OT</t>
  </si>
  <si>
    <t>SA</t>
  </si>
  <si>
    <t>Svs</t>
  </si>
  <si>
    <t>GA</t>
  </si>
  <si>
    <t>Sv%</t>
  </si>
  <si>
    <t>GAA</t>
  </si>
  <si>
    <t>TOI</t>
  </si>
  <si>
    <t>SO</t>
  </si>
  <si>
    <t>G</t>
  </si>
  <si>
    <t>A</t>
  </si>
  <si>
    <t>P</t>
  </si>
  <si>
    <t>PIM</t>
  </si>
  <si>
    <t>Anthony Stolarz</t>
  </si>
  <si>
    <t>TOR</t>
  </si>
  <si>
    <t>1986:54</t>
  </si>
  <si>
    <t>Connor Hellebuyck</t>
  </si>
  <si>
    <t>WPG</t>
  </si>
  <si>
    <t>1,664</t>
  </si>
  <si>
    <t>1,539</t>
  </si>
  <si>
    <t>3741:22</t>
  </si>
  <si>
    <t>Darcy Kuemper</t>
  </si>
  <si>
    <t>LAK</t>
  </si>
  <si>
    <t>1,267</t>
  </si>
  <si>
    <t>1,168</t>
  </si>
  <si>
    <t>2973:39</t>
  </si>
  <si>
    <t>Andrei Vasilevskiy</t>
  </si>
  <si>
    <t>TBL</t>
  </si>
  <si>
    <t>1,716</t>
  </si>
  <si>
    <t>1,581</t>
  </si>
  <si>
    <t>3743:05</t>
  </si>
  <si>
    <t>Casey DeSmith</t>
  </si>
  <si>
    <t>DAL</t>
  </si>
  <si>
    <t>1504:30</t>
  </si>
  <si>
    <t>Eric Comrie</t>
  </si>
  <si>
    <t>1179:33</t>
  </si>
  <si>
    <t>Filip Gustavsson</t>
  </si>
  <si>
    <t>MIN</t>
  </si>
  <si>
    <t>1,693</t>
  </si>
  <si>
    <t>1,547</t>
  </si>
  <si>
    <t>3423:35</t>
  </si>
  <si>
    <t>John Gibson</t>
  </si>
  <si>
    <t>ANA</t>
  </si>
  <si>
    <t>1562:09</t>
  </si>
  <si>
    <t>Mackenzie Blackwood</t>
  </si>
  <si>
    <t>SJS,COL</t>
  </si>
  <si>
    <t>1,549</t>
  </si>
  <si>
    <t>1,413</t>
  </si>
  <si>
    <t>3223:38</t>
  </si>
  <si>
    <t>Logan Thompson</t>
  </si>
  <si>
    <t>WSH</t>
  </si>
  <si>
    <t>R</t>
  </si>
  <si>
    <t>1,172</t>
  </si>
  <si>
    <t>1,067</t>
  </si>
  <si>
    <t>2535:09</t>
  </si>
  <si>
    <t>Linus Ullmark</t>
  </si>
  <si>
    <t>OTT</t>
  </si>
  <si>
    <t>1,229</t>
  </si>
  <si>
    <t>1,118</t>
  </si>
  <si>
    <t>2467:17</t>
  </si>
  <si>
    <t>Dustin Wolf</t>
  </si>
  <si>
    <t>CGY</t>
  </si>
  <si>
    <t>1,409</t>
  </si>
  <si>
    <t>3182:22</t>
  </si>
  <si>
    <t>Jake Oettinger</t>
  </si>
  <si>
    <t>1,611</t>
  </si>
  <si>
    <t>1,464</t>
  </si>
  <si>
    <t>3410:04</t>
  </si>
  <si>
    <t>Joseph Woll</t>
  </si>
  <si>
    <t>1,216</t>
  </si>
  <si>
    <t>1,105</t>
  </si>
  <si>
    <t>2442:20</t>
  </si>
  <si>
    <t>Jake Allen</t>
  </si>
  <si>
    <t>NJD</t>
  </si>
  <si>
    <t>1738:10</t>
  </si>
  <si>
    <t>Scott Wedgewood</t>
  </si>
  <si>
    <t>NSH,COL</t>
  </si>
  <si>
    <t>1373:05</t>
  </si>
  <si>
    <t>Ilya Sorokin</t>
  </si>
  <si>
    <t>NYI</t>
  </si>
  <si>
    <t>1,695</t>
  </si>
  <si>
    <t>1,538</t>
  </si>
  <si>
    <t>3498:51</t>
  </si>
  <si>
    <t>Adin Hill</t>
  </si>
  <si>
    <t>VGK</t>
  </si>
  <si>
    <t>1,293</t>
  </si>
  <si>
    <t>2940:13</t>
  </si>
  <si>
    <t>Joey Daccord</t>
  </si>
  <si>
    <t>SEA</t>
  </si>
  <si>
    <t>1,599</t>
  </si>
  <si>
    <t>1,449</t>
  </si>
  <si>
    <t>3295:15</t>
  </si>
  <si>
    <t>Sergei Bobrovsky</t>
  </si>
  <si>
    <t>FLA</t>
  </si>
  <si>
    <t>1,377</t>
  </si>
  <si>
    <t>1,247</t>
  </si>
  <si>
    <t>3199:59</t>
  </si>
  <si>
    <t>Igor Shesterkin</t>
  </si>
  <si>
    <t>NYR</t>
  </si>
  <si>
    <t>1,751</t>
  </si>
  <si>
    <t>1,584</t>
  </si>
  <si>
    <t>3505:08</t>
  </si>
  <si>
    <t>Karel Vejmelka</t>
  </si>
  <si>
    <t>UTA</t>
  </si>
  <si>
    <t>1,509</t>
  </si>
  <si>
    <t>1,364</t>
  </si>
  <si>
    <t>3368:20</t>
  </si>
  <si>
    <t>Joel Hofer</t>
  </si>
  <si>
    <t>STL</t>
  </si>
  <si>
    <t>1678:49</t>
  </si>
  <si>
    <t>Lukas Dostal</t>
  </si>
  <si>
    <t>1,625</t>
  </si>
  <si>
    <t>1,467</t>
  </si>
  <si>
    <t>3057:39</t>
  </si>
  <si>
    <t>Spencer Knight</t>
  </si>
  <si>
    <t>FLA,CHI</t>
  </si>
  <si>
    <t>1,011</t>
  </si>
  <si>
    <t>2202:51</t>
  </si>
  <si>
    <t>Kevin Lankinen</t>
  </si>
  <si>
    <t>VAN</t>
  </si>
  <si>
    <t>1,345</t>
  </si>
  <si>
    <t>1,213</t>
  </si>
  <si>
    <t>3019:47</t>
  </si>
  <si>
    <t>Samuel Montembeault</t>
  </si>
  <si>
    <t>MTL</t>
  </si>
  <si>
    <t>1,678</t>
  </si>
  <si>
    <t>1,513</t>
  </si>
  <si>
    <t>3533:59</t>
  </si>
  <si>
    <t>Cam Talbot</t>
  </si>
  <si>
    <t>DET</t>
  </si>
  <si>
    <t>1,295</t>
  </si>
  <si>
    <t>1,167</t>
  </si>
  <si>
    <t>2642:10</t>
  </si>
  <si>
    <t>Anton Forsberg</t>
  </si>
  <si>
    <t>1676:32</t>
  </si>
  <si>
    <t>Jordan Binnington</t>
  </si>
  <si>
    <t>1,457</t>
  </si>
  <si>
    <t>1,312</t>
  </si>
  <si>
    <t>3238:59</t>
  </si>
  <si>
    <t>Jacob Markstrom</t>
  </si>
  <si>
    <t>1,214</t>
  </si>
  <si>
    <t>1,093</t>
  </si>
  <si>
    <t>2903:01</t>
  </si>
  <si>
    <t>EDM</t>
  </si>
  <si>
    <t>Frederik Andersen</t>
  </si>
  <si>
    <t>CAR</t>
  </si>
  <si>
    <t>1319:31</t>
  </si>
  <si>
    <t>Marc-Andre Fleury</t>
  </si>
  <si>
    <t>1390:16</t>
  </si>
  <si>
    <t>Arvid Soderblom</t>
  </si>
  <si>
    <t>CHI</t>
  </si>
  <si>
    <t>1,087</t>
  </si>
  <si>
    <t>2096:30</t>
  </si>
  <si>
    <t>Pyotr Kochetkov</t>
  </si>
  <si>
    <t>1,052</t>
  </si>
  <si>
    <t>2790:42</t>
  </si>
  <si>
    <t>Dan Vladar</t>
  </si>
  <si>
    <t>1781:02</t>
  </si>
  <si>
    <t>James Reimer</t>
  </si>
  <si>
    <t>ANA,BUF</t>
  </si>
  <si>
    <t>1362:50</t>
  </si>
  <si>
    <t>Alex Lyon</t>
  </si>
  <si>
    <t>1559:38</t>
  </si>
  <si>
    <t>Charlie Lindgren</t>
  </si>
  <si>
    <t>2287:00</t>
  </si>
  <si>
    <t>Stuart Skinner</t>
  </si>
  <si>
    <t>1,325</t>
  </si>
  <si>
    <t>1,187</t>
  </si>
  <si>
    <t>2942:27</t>
  </si>
  <si>
    <t>Juuse Saros</t>
  </si>
  <si>
    <t>NSH</t>
  </si>
  <si>
    <t>1,592</t>
  </si>
  <si>
    <t>1,426</t>
  </si>
  <si>
    <t>3357:49</t>
  </si>
  <si>
    <t>Alex Nedeljkovic</t>
  </si>
  <si>
    <t>PIT</t>
  </si>
  <si>
    <t>1,054</t>
  </si>
  <si>
    <t>2150:51</t>
  </si>
  <si>
    <t>Jonathan Quick</t>
  </si>
  <si>
    <t>1325:41</t>
  </si>
  <si>
    <t>Joonas Korpisalo</t>
  </si>
  <si>
    <t>BOS</t>
  </si>
  <si>
    <t>1529:42</t>
  </si>
  <si>
    <t>Tristan Jarry</t>
  </si>
  <si>
    <t>2019:54</t>
  </si>
  <si>
    <t>Jeremy Swayman</t>
  </si>
  <si>
    <t>1,632</t>
  </si>
  <si>
    <t>1,456</t>
  </si>
  <si>
    <t>3390:35</t>
  </si>
  <si>
    <t>Elvis Merzlikins</t>
  </si>
  <si>
    <t>CBJ</t>
  </si>
  <si>
    <t>1,557</t>
  </si>
  <si>
    <t>1,389</t>
  </si>
  <si>
    <t>3170:55</t>
  </si>
  <si>
    <t>Petr Mrazek</t>
  </si>
  <si>
    <t>CHI,DET</t>
  </si>
  <si>
    <t>1,066</t>
  </si>
  <si>
    <t>2080:07</t>
  </si>
  <si>
    <t>Ilya Samsonov</t>
  </si>
  <si>
    <t>1745:22</t>
  </si>
  <si>
    <t>Thatcher Demko</t>
  </si>
  <si>
    <t>1301:58</t>
  </si>
  <si>
    <t>David Rittich</t>
  </si>
  <si>
    <t>1860:28</t>
  </si>
  <si>
    <t>Ukko-Pekka Luukkonen</t>
  </si>
  <si>
    <t>BUF</t>
  </si>
  <si>
    <t>1,490</t>
  </si>
  <si>
    <t>1,321</t>
  </si>
  <si>
    <t>3172:13</t>
  </si>
  <si>
    <t>Vitek Vanecek</t>
  </si>
  <si>
    <t>SJS,FLA</t>
  </si>
  <si>
    <t>1393:38</t>
  </si>
  <si>
    <t>Justus Annunen</t>
  </si>
  <si>
    <t>COL,NSH</t>
  </si>
  <si>
    <t>1789:49</t>
  </si>
  <si>
    <t>Samuel Ersson</t>
  </si>
  <si>
    <t>PHI</t>
  </si>
  <si>
    <t>1,162</t>
  </si>
  <si>
    <t>1,026</t>
  </si>
  <si>
    <t>2601:47</t>
  </si>
  <si>
    <t>Connor Ingram</t>
  </si>
  <si>
    <t>1210:07</t>
  </si>
  <si>
    <t>Daniil Tarasov</t>
  </si>
  <si>
    <t>1100:25</t>
  </si>
  <si>
    <t>Philipp Grubauer</t>
  </si>
  <si>
    <t>1460:29</t>
  </si>
  <si>
    <t>Pts%</t>
  </si>
  <si>
    <t>Cap Hit</t>
  </si>
  <si>
    <t>GSAX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</si>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</sst>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2" applyNumberFormat="1" applyFont="1"/>
    <xf numFmtId="6" fontId="0" fillId="0" borderId="0" xfId="0" applyNumberFormat="1"/>
    <xf numFmtId="167" fontId="0" fillId="0" borderId="0" xfId="1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workbookViewId="0">
      <selection activeCell="I26" sqref="I26"/>
    </sheetView>
  </sheetViews>
  <sheetFormatPr baseColWidth="10" defaultRowHeight="16" x14ac:dyDescent="0.2"/>
  <cols>
    <col min="1" max="1" width="10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233</v>
      </c>
    </row>
    <row r="2" spans="1:24" x14ac:dyDescent="0.2">
      <c r="A2" t="s">
        <v>20</v>
      </c>
      <c r="B2">
        <v>20242025</v>
      </c>
      <c r="C2" t="s">
        <v>21</v>
      </c>
      <c r="D2" t="s">
        <v>7</v>
      </c>
      <c r="E2">
        <v>34</v>
      </c>
      <c r="F2">
        <v>33</v>
      </c>
      <c r="G2">
        <v>21</v>
      </c>
      <c r="H2">
        <v>8</v>
      </c>
      <c r="I2">
        <v>3</v>
      </c>
      <c r="J2">
        <v>955</v>
      </c>
      <c r="K2">
        <v>884</v>
      </c>
      <c r="L2">
        <v>71</v>
      </c>
      <c r="M2">
        <v>0.92600000000000005</v>
      </c>
      <c r="N2">
        <v>2.14</v>
      </c>
      <c r="O2" t="s">
        <v>22</v>
      </c>
      <c r="P2">
        <v>4</v>
      </c>
      <c r="Q2">
        <v>0</v>
      </c>
      <c r="R2">
        <v>1</v>
      </c>
      <c r="S2">
        <v>1</v>
      </c>
      <c r="T2">
        <v>0</v>
      </c>
      <c r="U2" s="1">
        <f>((2*G2)+I2)/(2*E2)</f>
        <v>0.66176470588235292</v>
      </c>
      <c r="X2" s="1"/>
    </row>
    <row r="3" spans="1:24" x14ac:dyDescent="0.2">
      <c r="A3" t="s">
        <v>23</v>
      </c>
      <c r="B3">
        <v>20242025</v>
      </c>
      <c r="C3" t="s">
        <v>24</v>
      </c>
      <c r="D3" t="s">
        <v>7</v>
      </c>
      <c r="E3">
        <v>63</v>
      </c>
      <c r="F3">
        <v>62</v>
      </c>
      <c r="G3">
        <v>47</v>
      </c>
      <c r="H3">
        <v>12</v>
      </c>
      <c r="I3">
        <v>3</v>
      </c>
      <c r="J3" t="s">
        <v>25</v>
      </c>
      <c r="K3" t="s">
        <v>26</v>
      </c>
      <c r="L3">
        <v>125</v>
      </c>
      <c r="M3">
        <v>0.92500000000000004</v>
      </c>
      <c r="N3">
        <v>2</v>
      </c>
      <c r="O3" t="s">
        <v>27</v>
      </c>
      <c r="P3">
        <v>8</v>
      </c>
      <c r="Q3">
        <v>0</v>
      </c>
      <c r="R3">
        <v>1</v>
      </c>
      <c r="S3">
        <v>1</v>
      </c>
      <c r="T3">
        <v>2</v>
      </c>
      <c r="U3" s="1">
        <f t="shared" ref="U3:U59" si="0">((2*G3)+I3)/(2*E3)</f>
        <v>0.76984126984126988</v>
      </c>
      <c r="X3" s="1"/>
    </row>
    <row r="4" spans="1:24" x14ac:dyDescent="0.2">
      <c r="A4" t="s">
        <v>28</v>
      </c>
      <c r="B4">
        <v>20242025</v>
      </c>
      <c r="C4" t="s">
        <v>29</v>
      </c>
      <c r="D4" t="s">
        <v>7</v>
      </c>
      <c r="E4">
        <v>50</v>
      </c>
      <c r="F4">
        <v>50</v>
      </c>
      <c r="G4">
        <v>31</v>
      </c>
      <c r="H4">
        <v>11</v>
      </c>
      <c r="I4">
        <v>7</v>
      </c>
      <c r="J4" t="s">
        <v>30</v>
      </c>
      <c r="K4" t="s">
        <v>31</v>
      </c>
      <c r="L4">
        <v>100</v>
      </c>
      <c r="M4">
        <v>0.92200000000000004</v>
      </c>
      <c r="N4">
        <v>2.02</v>
      </c>
      <c r="O4" t="s">
        <v>32</v>
      </c>
      <c r="P4">
        <v>5</v>
      </c>
      <c r="Q4">
        <v>0</v>
      </c>
      <c r="R4">
        <v>1</v>
      </c>
      <c r="S4">
        <v>1</v>
      </c>
      <c r="T4">
        <v>12</v>
      </c>
      <c r="U4" s="1">
        <f t="shared" si="0"/>
        <v>0.69</v>
      </c>
      <c r="X4" s="1"/>
    </row>
    <row r="5" spans="1:24" x14ac:dyDescent="0.2">
      <c r="A5" t="s">
        <v>33</v>
      </c>
      <c r="B5">
        <v>20242025</v>
      </c>
      <c r="C5" t="s">
        <v>34</v>
      </c>
      <c r="D5" t="s">
        <v>7</v>
      </c>
      <c r="E5">
        <v>63</v>
      </c>
      <c r="F5">
        <v>63</v>
      </c>
      <c r="G5">
        <v>38</v>
      </c>
      <c r="H5">
        <v>20</v>
      </c>
      <c r="I5">
        <v>5</v>
      </c>
      <c r="J5" t="s">
        <v>35</v>
      </c>
      <c r="K5" t="s">
        <v>36</v>
      </c>
      <c r="L5">
        <v>136</v>
      </c>
      <c r="M5">
        <v>0.92100000000000004</v>
      </c>
      <c r="N5">
        <v>2.1800000000000002</v>
      </c>
      <c r="O5" t="s">
        <v>37</v>
      </c>
      <c r="P5">
        <v>6</v>
      </c>
      <c r="Q5">
        <v>0</v>
      </c>
      <c r="R5">
        <v>2</v>
      </c>
      <c r="S5">
        <v>2</v>
      </c>
      <c r="T5">
        <v>8</v>
      </c>
      <c r="U5" s="1">
        <f t="shared" si="0"/>
        <v>0.6428571428571429</v>
      </c>
      <c r="X5" s="1"/>
    </row>
    <row r="6" spans="1:24" x14ac:dyDescent="0.2">
      <c r="A6" t="s">
        <v>38</v>
      </c>
      <c r="B6">
        <v>20242025</v>
      </c>
      <c r="C6" t="s">
        <v>39</v>
      </c>
      <c r="D6" t="s">
        <v>7</v>
      </c>
      <c r="E6">
        <v>27</v>
      </c>
      <c r="F6">
        <v>24</v>
      </c>
      <c r="G6">
        <v>14</v>
      </c>
      <c r="H6">
        <v>8</v>
      </c>
      <c r="I6">
        <v>2</v>
      </c>
      <c r="J6">
        <v>761</v>
      </c>
      <c r="K6">
        <v>696</v>
      </c>
      <c r="L6">
        <v>65</v>
      </c>
      <c r="M6">
        <v>0.91500000000000004</v>
      </c>
      <c r="N6">
        <v>2.59</v>
      </c>
      <c r="O6" t="s">
        <v>40</v>
      </c>
      <c r="P6">
        <v>2</v>
      </c>
      <c r="Q6">
        <v>0</v>
      </c>
      <c r="R6">
        <v>1</v>
      </c>
      <c r="S6">
        <v>1</v>
      </c>
      <c r="T6">
        <v>2</v>
      </c>
      <c r="U6" s="1">
        <f t="shared" si="0"/>
        <v>0.55555555555555558</v>
      </c>
      <c r="X6" s="1"/>
    </row>
    <row r="7" spans="1:24" x14ac:dyDescent="0.2">
      <c r="A7" t="s">
        <v>41</v>
      </c>
      <c r="B7">
        <v>20242025</v>
      </c>
      <c r="C7" t="s">
        <v>24</v>
      </c>
      <c r="D7" t="s">
        <v>7</v>
      </c>
      <c r="E7">
        <v>20</v>
      </c>
      <c r="F7">
        <v>20</v>
      </c>
      <c r="G7">
        <v>9</v>
      </c>
      <c r="H7">
        <v>10</v>
      </c>
      <c r="I7">
        <v>1</v>
      </c>
      <c r="J7">
        <v>547</v>
      </c>
      <c r="K7">
        <v>500</v>
      </c>
      <c r="L7">
        <v>47</v>
      </c>
      <c r="M7">
        <v>0.91400000000000003</v>
      </c>
      <c r="N7">
        <v>2.39</v>
      </c>
      <c r="O7" t="s">
        <v>42</v>
      </c>
      <c r="P7">
        <v>2</v>
      </c>
      <c r="Q7">
        <v>0</v>
      </c>
      <c r="R7">
        <v>0</v>
      </c>
      <c r="S7">
        <v>0</v>
      </c>
      <c r="T7">
        <v>0</v>
      </c>
      <c r="U7" s="1">
        <f t="shared" si="0"/>
        <v>0.47499999999999998</v>
      </c>
      <c r="X7" s="1"/>
    </row>
    <row r="8" spans="1:24" x14ac:dyDescent="0.2">
      <c r="A8" t="s">
        <v>43</v>
      </c>
      <c r="B8">
        <v>20242025</v>
      </c>
      <c r="C8" t="s">
        <v>44</v>
      </c>
      <c r="D8" t="s">
        <v>7</v>
      </c>
      <c r="E8">
        <v>58</v>
      </c>
      <c r="F8">
        <v>58</v>
      </c>
      <c r="G8">
        <v>31</v>
      </c>
      <c r="H8">
        <v>19</v>
      </c>
      <c r="I8">
        <v>6</v>
      </c>
      <c r="J8" t="s">
        <v>45</v>
      </c>
      <c r="K8" t="s">
        <v>46</v>
      </c>
      <c r="L8">
        <v>146</v>
      </c>
      <c r="M8">
        <v>0.91400000000000003</v>
      </c>
      <c r="N8">
        <v>2.56</v>
      </c>
      <c r="O8" t="s">
        <v>47</v>
      </c>
      <c r="P8">
        <v>5</v>
      </c>
      <c r="Q8">
        <v>1</v>
      </c>
      <c r="R8">
        <v>1</v>
      </c>
      <c r="S8">
        <v>2</v>
      </c>
      <c r="T8">
        <v>0</v>
      </c>
      <c r="U8" s="1">
        <f t="shared" si="0"/>
        <v>0.58620689655172409</v>
      </c>
      <c r="X8" s="1"/>
    </row>
    <row r="9" spans="1:24" x14ac:dyDescent="0.2">
      <c r="A9" t="s">
        <v>48</v>
      </c>
      <c r="B9">
        <v>20242025</v>
      </c>
      <c r="C9" t="s">
        <v>49</v>
      </c>
      <c r="D9" t="s">
        <v>7</v>
      </c>
      <c r="E9">
        <v>29</v>
      </c>
      <c r="F9">
        <v>28</v>
      </c>
      <c r="G9">
        <v>11</v>
      </c>
      <c r="H9">
        <v>11</v>
      </c>
      <c r="I9">
        <v>2</v>
      </c>
      <c r="J9">
        <v>811</v>
      </c>
      <c r="K9">
        <v>740</v>
      </c>
      <c r="L9">
        <v>72</v>
      </c>
      <c r="M9">
        <v>0.91200000000000003</v>
      </c>
      <c r="N9">
        <v>2.77</v>
      </c>
      <c r="O9" t="s">
        <v>50</v>
      </c>
      <c r="P9">
        <v>0</v>
      </c>
      <c r="Q9">
        <v>0</v>
      </c>
      <c r="R9">
        <v>1</v>
      </c>
      <c r="S9">
        <v>1</v>
      </c>
      <c r="T9">
        <v>4</v>
      </c>
      <c r="U9" s="1">
        <f t="shared" si="0"/>
        <v>0.41379310344827586</v>
      </c>
      <c r="X9" s="1"/>
    </row>
    <row r="10" spans="1:24" x14ac:dyDescent="0.2">
      <c r="A10" t="s">
        <v>51</v>
      </c>
      <c r="B10">
        <v>20242025</v>
      </c>
      <c r="C10" t="s">
        <v>52</v>
      </c>
      <c r="D10" t="s">
        <v>7</v>
      </c>
      <c r="E10">
        <v>56</v>
      </c>
      <c r="F10">
        <v>53</v>
      </c>
      <c r="G10">
        <v>28</v>
      </c>
      <c r="H10">
        <v>21</v>
      </c>
      <c r="I10">
        <v>6</v>
      </c>
      <c r="J10" t="s">
        <v>53</v>
      </c>
      <c r="K10" t="s">
        <v>54</v>
      </c>
      <c r="L10">
        <v>137</v>
      </c>
      <c r="M10">
        <v>0.91200000000000003</v>
      </c>
      <c r="N10">
        <v>2.5499999999999998</v>
      </c>
      <c r="O10" t="s">
        <v>55</v>
      </c>
      <c r="P10">
        <v>4</v>
      </c>
      <c r="Q10">
        <v>0</v>
      </c>
      <c r="R10">
        <v>1</v>
      </c>
      <c r="S10">
        <v>1</v>
      </c>
      <c r="T10">
        <v>2</v>
      </c>
      <c r="U10" s="1">
        <f t="shared" si="0"/>
        <v>0.5535714285714286</v>
      </c>
      <c r="X10" s="1"/>
    </row>
    <row r="11" spans="1:24" x14ac:dyDescent="0.2">
      <c r="A11" t="s">
        <v>56</v>
      </c>
      <c r="B11">
        <v>20242025</v>
      </c>
      <c r="C11" t="s">
        <v>57</v>
      </c>
      <c r="D11" t="s">
        <v>58</v>
      </c>
      <c r="E11">
        <v>43</v>
      </c>
      <c r="F11">
        <v>42</v>
      </c>
      <c r="G11">
        <v>31</v>
      </c>
      <c r="H11">
        <v>6</v>
      </c>
      <c r="I11">
        <v>6</v>
      </c>
      <c r="J11" t="s">
        <v>59</v>
      </c>
      <c r="K11" t="s">
        <v>60</v>
      </c>
      <c r="L11">
        <v>105</v>
      </c>
      <c r="M11">
        <v>0.91</v>
      </c>
      <c r="N11">
        <v>2.4900000000000002</v>
      </c>
      <c r="O11" t="s">
        <v>61</v>
      </c>
      <c r="P11">
        <v>2</v>
      </c>
      <c r="Q11">
        <v>0</v>
      </c>
      <c r="R11">
        <v>1</v>
      </c>
      <c r="S11">
        <v>1</v>
      </c>
      <c r="T11">
        <v>0</v>
      </c>
      <c r="U11" s="1">
        <f t="shared" si="0"/>
        <v>0.79069767441860461</v>
      </c>
      <c r="X11" s="1"/>
    </row>
    <row r="12" spans="1:24" x14ac:dyDescent="0.2">
      <c r="A12" t="s">
        <v>62</v>
      </c>
      <c r="B12">
        <v>20242025</v>
      </c>
      <c r="C12" t="s">
        <v>63</v>
      </c>
      <c r="D12" t="s">
        <v>7</v>
      </c>
      <c r="E12">
        <v>44</v>
      </c>
      <c r="F12">
        <v>43</v>
      </c>
      <c r="G12">
        <v>25</v>
      </c>
      <c r="H12">
        <v>14</v>
      </c>
      <c r="I12">
        <v>3</v>
      </c>
      <c r="J12" t="s">
        <v>64</v>
      </c>
      <c r="K12" t="s">
        <v>65</v>
      </c>
      <c r="L12">
        <v>112</v>
      </c>
      <c r="M12">
        <v>0.91</v>
      </c>
      <c r="N12">
        <v>2.72</v>
      </c>
      <c r="O12" t="s">
        <v>66</v>
      </c>
      <c r="P12">
        <v>4</v>
      </c>
      <c r="Q12">
        <v>0</v>
      </c>
      <c r="R12">
        <v>2</v>
      </c>
      <c r="S12">
        <v>2</v>
      </c>
      <c r="T12">
        <v>0</v>
      </c>
      <c r="U12" s="1">
        <f t="shared" si="0"/>
        <v>0.60227272727272729</v>
      </c>
      <c r="X12" s="1"/>
    </row>
    <row r="13" spans="1:24" x14ac:dyDescent="0.2">
      <c r="A13" t="s">
        <v>67</v>
      </c>
      <c r="B13">
        <v>20242025</v>
      </c>
      <c r="C13" t="s">
        <v>68</v>
      </c>
      <c r="D13" t="s">
        <v>7</v>
      </c>
      <c r="E13">
        <v>53</v>
      </c>
      <c r="F13">
        <v>53</v>
      </c>
      <c r="G13">
        <v>29</v>
      </c>
      <c r="H13">
        <v>16</v>
      </c>
      <c r="I13">
        <v>8</v>
      </c>
      <c r="J13" t="s">
        <v>53</v>
      </c>
      <c r="K13" t="s">
        <v>69</v>
      </c>
      <c r="L13">
        <v>140</v>
      </c>
      <c r="M13">
        <v>0.91</v>
      </c>
      <c r="N13">
        <v>2.64</v>
      </c>
      <c r="O13" t="s">
        <v>70</v>
      </c>
      <c r="P13">
        <v>3</v>
      </c>
      <c r="Q13">
        <v>0</v>
      </c>
      <c r="R13">
        <v>3</v>
      </c>
      <c r="S13">
        <v>3</v>
      </c>
      <c r="T13">
        <v>2</v>
      </c>
      <c r="U13" s="1">
        <f t="shared" si="0"/>
        <v>0.62264150943396224</v>
      </c>
      <c r="X13" s="1"/>
    </row>
    <row r="14" spans="1:24" x14ac:dyDescent="0.2">
      <c r="A14" t="s">
        <v>71</v>
      </c>
      <c r="B14">
        <v>20242025</v>
      </c>
      <c r="C14" t="s">
        <v>39</v>
      </c>
      <c r="D14" t="s">
        <v>7</v>
      </c>
      <c r="E14">
        <v>58</v>
      </c>
      <c r="F14">
        <v>58</v>
      </c>
      <c r="G14">
        <v>36</v>
      </c>
      <c r="H14">
        <v>18</v>
      </c>
      <c r="I14">
        <v>4</v>
      </c>
      <c r="J14" t="s">
        <v>72</v>
      </c>
      <c r="K14" t="s">
        <v>73</v>
      </c>
      <c r="L14">
        <v>147</v>
      </c>
      <c r="M14">
        <v>0.90900000000000003</v>
      </c>
      <c r="N14">
        <v>2.59</v>
      </c>
      <c r="O14" t="s">
        <v>74</v>
      </c>
      <c r="P14">
        <v>2</v>
      </c>
      <c r="Q14">
        <v>0</v>
      </c>
      <c r="R14">
        <v>1</v>
      </c>
      <c r="S14">
        <v>1</v>
      </c>
      <c r="T14">
        <v>0</v>
      </c>
      <c r="U14" s="1">
        <f t="shared" si="0"/>
        <v>0.65517241379310343</v>
      </c>
      <c r="X14" s="1"/>
    </row>
    <row r="15" spans="1:24" x14ac:dyDescent="0.2">
      <c r="A15" t="s">
        <v>75</v>
      </c>
      <c r="B15">
        <v>20242025</v>
      </c>
      <c r="C15" t="s">
        <v>21</v>
      </c>
      <c r="D15" t="s">
        <v>7</v>
      </c>
      <c r="E15">
        <v>42</v>
      </c>
      <c r="F15">
        <v>41</v>
      </c>
      <c r="G15">
        <v>27</v>
      </c>
      <c r="H15">
        <v>14</v>
      </c>
      <c r="I15">
        <v>1</v>
      </c>
      <c r="J15" t="s">
        <v>76</v>
      </c>
      <c r="K15" t="s">
        <v>77</v>
      </c>
      <c r="L15">
        <v>111</v>
      </c>
      <c r="M15">
        <v>0.90900000000000003</v>
      </c>
      <c r="N15">
        <v>2.73</v>
      </c>
      <c r="O15" t="s">
        <v>78</v>
      </c>
      <c r="P15">
        <v>1</v>
      </c>
      <c r="Q15">
        <v>0</v>
      </c>
      <c r="R15">
        <v>0</v>
      </c>
      <c r="S15">
        <v>0</v>
      </c>
      <c r="T15">
        <v>0</v>
      </c>
      <c r="U15" s="1">
        <f t="shared" si="0"/>
        <v>0.65476190476190477</v>
      </c>
      <c r="X15" s="1"/>
    </row>
    <row r="16" spans="1:24" x14ac:dyDescent="0.2">
      <c r="A16" t="s">
        <v>79</v>
      </c>
      <c r="B16">
        <v>20242025</v>
      </c>
      <c r="C16" t="s">
        <v>80</v>
      </c>
      <c r="D16" t="s">
        <v>7</v>
      </c>
      <c r="E16">
        <v>31</v>
      </c>
      <c r="F16">
        <v>29</v>
      </c>
      <c r="G16">
        <v>13</v>
      </c>
      <c r="H16">
        <v>16</v>
      </c>
      <c r="I16">
        <v>1</v>
      </c>
      <c r="J16">
        <v>819</v>
      </c>
      <c r="K16">
        <v>744</v>
      </c>
      <c r="L16">
        <v>77</v>
      </c>
      <c r="M16">
        <v>0.90800000000000003</v>
      </c>
      <c r="N16">
        <v>2.66</v>
      </c>
      <c r="O16" t="s">
        <v>81</v>
      </c>
      <c r="P16">
        <v>4</v>
      </c>
      <c r="Q16">
        <v>0</v>
      </c>
      <c r="R16">
        <v>0</v>
      </c>
      <c r="S16">
        <v>0</v>
      </c>
      <c r="T16">
        <v>0</v>
      </c>
      <c r="U16" s="1">
        <f t="shared" si="0"/>
        <v>0.43548387096774194</v>
      </c>
      <c r="X16" s="1"/>
    </row>
    <row r="17" spans="1:24" x14ac:dyDescent="0.2">
      <c r="A17" t="s">
        <v>82</v>
      </c>
      <c r="B17">
        <v>20242025</v>
      </c>
      <c r="C17" t="s">
        <v>83</v>
      </c>
      <c r="D17" t="s">
        <v>7</v>
      </c>
      <c r="E17">
        <v>24</v>
      </c>
      <c r="F17">
        <v>22</v>
      </c>
      <c r="G17">
        <v>14</v>
      </c>
      <c r="H17">
        <v>6</v>
      </c>
      <c r="I17">
        <v>2</v>
      </c>
      <c r="J17">
        <v>578</v>
      </c>
      <c r="K17">
        <v>525</v>
      </c>
      <c r="L17">
        <v>53</v>
      </c>
      <c r="M17">
        <v>0.90800000000000003</v>
      </c>
      <c r="N17">
        <v>2.3199999999999998</v>
      </c>
      <c r="O17" t="s">
        <v>84</v>
      </c>
      <c r="P17">
        <v>2</v>
      </c>
      <c r="Q17">
        <v>0</v>
      </c>
      <c r="R17">
        <v>0</v>
      </c>
      <c r="S17">
        <v>0</v>
      </c>
      <c r="T17">
        <v>0</v>
      </c>
      <c r="U17" s="1">
        <f t="shared" si="0"/>
        <v>0.625</v>
      </c>
      <c r="X17" s="1"/>
    </row>
    <row r="18" spans="1:24" x14ac:dyDescent="0.2">
      <c r="A18" t="s">
        <v>85</v>
      </c>
      <c r="B18">
        <v>20242025</v>
      </c>
      <c r="C18" t="s">
        <v>86</v>
      </c>
      <c r="D18" t="s">
        <v>7</v>
      </c>
      <c r="E18">
        <v>61</v>
      </c>
      <c r="F18">
        <v>60</v>
      </c>
      <c r="G18">
        <v>30</v>
      </c>
      <c r="H18">
        <v>24</v>
      </c>
      <c r="I18">
        <v>6</v>
      </c>
      <c r="J18" t="s">
        <v>87</v>
      </c>
      <c r="K18" t="s">
        <v>88</v>
      </c>
      <c r="L18">
        <v>158</v>
      </c>
      <c r="M18">
        <v>0.90700000000000003</v>
      </c>
      <c r="N18">
        <v>2.71</v>
      </c>
      <c r="O18" t="s">
        <v>89</v>
      </c>
      <c r="P18">
        <v>4</v>
      </c>
      <c r="Q18">
        <v>1</v>
      </c>
      <c r="R18">
        <v>2</v>
      </c>
      <c r="S18">
        <v>3</v>
      </c>
      <c r="T18">
        <v>2</v>
      </c>
      <c r="U18" s="1">
        <f t="shared" si="0"/>
        <v>0.54098360655737709</v>
      </c>
      <c r="X18" s="1"/>
    </row>
    <row r="19" spans="1:24" x14ac:dyDescent="0.2">
      <c r="A19" t="s">
        <v>90</v>
      </c>
      <c r="B19">
        <v>20242025</v>
      </c>
      <c r="C19" t="s">
        <v>91</v>
      </c>
      <c r="D19" t="s">
        <v>7</v>
      </c>
      <c r="E19">
        <v>50</v>
      </c>
      <c r="F19">
        <v>50</v>
      </c>
      <c r="G19">
        <v>32</v>
      </c>
      <c r="H19">
        <v>13</v>
      </c>
      <c r="I19">
        <v>5</v>
      </c>
      <c r="J19" t="s">
        <v>92</v>
      </c>
      <c r="K19" t="s">
        <v>59</v>
      </c>
      <c r="L19">
        <v>121</v>
      </c>
      <c r="M19">
        <v>0.90600000000000003</v>
      </c>
      <c r="N19">
        <v>2.4700000000000002</v>
      </c>
      <c r="O19" t="s">
        <v>93</v>
      </c>
      <c r="P19">
        <v>4</v>
      </c>
      <c r="Q19">
        <v>0</v>
      </c>
      <c r="R19">
        <v>0</v>
      </c>
      <c r="S19">
        <v>0</v>
      </c>
      <c r="T19">
        <v>4</v>
      </c>
      <c r="U19" s="1">
        <f t="shared" si="0"/>
        <v>0.69</v>
      </c>
      <c r="X19" s="1"/>
    </row>
    <row r="20" spans="1:24" x14ac:dyDescent="0.2">
      <c r="A20" t="s">
        <v>94</v>
      </c>
      <c r="B20">
        <v>20242025</v>
      </c>
      <c r="C20" t="s">
        <v>95</v>
      </c>
      <c r="D20" t="s">
        <v>7</v>
      </c>
      <c r="E20">
        <v>57</v>
      </c>
      <c r="F20">
        <v>55</v>
      </c>
      <c r="G20">
        <v>27</v>
      </c>
      <c r="H20">
        <v>23</v>
      </c>
      <c r="I20">
        <v>5</v>
      </c>
      <c r="J20" t="s">
        <v>96</v>
      </c>
      <c r="K20" t="s">
        <v>97</v>
      </c>
      <c r="L20">
        <v>151</v>
      </c>
      <c r="M20">
        <v>0.90600000000000003</v>
      </c>
      <c r="N20">
        <v>2.75</v>
      </c>
      <c r="O20" t="s">
        <v>98</v>
      </c>
      <c r="P20">
        <v>2</v>
      </c>
      <c r="Q20">
        <v>0</v>
      </c>
      <c r="R20">
        <v>2</v>
      </c>
      <c r="S20">
        <v>2</v>
      </c>
      <c r="T20">
        <v>0</v>
      </c>
      <c r="U20" s="1">
        <f t="shared" si="0"/>
        <v>0.51754385964912286</v>
      </c>
      <c r="X20" s="1"/>
    </row>
    <row r="21" spans="1:24" x14ac:dyDescent="0.2">
      <c r="A21" t="s">
        <v>99</v>
      </c>
      <c r="B21">
        <v>20242025</v>
      </c>
      <c r="C21" t="s">
        <v>100</v>
      </c>
      <c r="D21" t="s">
        <v>7</v>
      </c>
      <c r="E21">
        <v>54</v>
      </c>
      <c r="F21">
        <v>54</v>
      </c>
      <c r="G21">
        <v>33</v>
      </c>
      <c r="H21">
        <v>19</v>
      </c>
      <c r="I21">
        <v>2</v>
      </c>
      <c r="J21" t="s">
        <v>101</v>
      </c>
      <c r="K21" t="s">
        <v>102</v>
      </c>
      <c r="L21">
        <v>130</v>
      </c>
      <c r="M21">
        <v>0.90600000000000003</v>
      </c>
      <c r="N21">
        <v>2.44</v>
      </c>
      <c r="O21" t="s">
        <v>103</v>
      </c>
      <c r="P21">
        <v>5</v>
      </c>
      <c r="Q21">
        <v>0</v>
      </c>
      <c r="R21">
        <v>1</v>
      </c>
      <c r="S21">
        <v>1</v>
      </c>
      <c r="T21">
        <v>4</v>
      </c>
      <c r="U21" s="1">
        <f t="shared" si="0"/>
        <v>0.62962962962962965</v>
      </c>
      <c r="X21" s="1"/>
    </row>
    <row r="22" spans="1:24" x14ac:dyDescent="0.2">
      <c r="A22" t="s">
        <v>104</v>
      </c>
      <c r="B22">
        <v>20242025</v>
      </c>
      <c r="C22" t="s">
        <v>105</v>
      </c>
      <c r="D22" t="s">
        <v>7</v>
      </c>
      <c r="E22">
        <v>61</v>
      </c>
      <c r="F22">
        <v>61</v>
      </c>
      <c r="G22">
        <v>27</v>
      </c>
      <c r="H22">
        <v>29</v>
      </c>
      <c r="I22">
        <v>5</v>
      </c>
      <c r="J22" t="s">
        <v>106</v>
      </c>
      <c r="K22" t="s">
        <v>107</v>
      </c>
      <c r="L22">
        <v>167</v>
      </c>
      <c r="M22">
        <v>0.90500000000000003</v>
      </c>
      <c r="N22">
        <v>2.86</v>
      </c>
      <c r="O22" t="s">
        <v>108</v>
      </c>
      <c r="P22">
        <v>6</v>
      </c>
      <c r="Q22">
        <v>0</v>
      </c>
      <c r="R22">
        <v>0</v>
      </c>
      <c r="S22">
        <v>0</v>
      </c>
      <c r="T22">
        <v>6</v>
      </c>
      <c r="U22" s="1">
        <f t="shared" si="0"/>
        <v>0.48360655737704916</v>
      </c>
      <c r="X22" s="1"/>
    </row>
    <row r="23" spans="1:24" x14ac:dyDescent="0.2">
      <c r="A23" t="s">
        <v>109</v>
      </c>
      <c r="B23">
        <v>20242025</v>
      </c>
      <c r="C23" t="s">
        <v>110</v>
      </c>
      <c r="D23" t="s">
        <v>58</v>
      </c>
      <c r="E23">
        <v>58</v>
      </c>
      <c r="F23">
        <v>55</v>
      </c>
      <c r="G23">
        <v>26</v>
      </c>
      <c r="H23">
        <v>22</v>
      </c>
      <c r="I23">
        <v>8</v>
      </c>
      <c r="J23" t="s">
        <v>111</v>
      </c>
      <c r="K23" t="s">
        <v>112</v>
      </c>
      <c r="L23">
        <v>145</v>
      </c>
      <c r="M23">
        <v>0.90400000000000003</v>
      </c>
      <c r="N23">
        <v>2.58</v>
      </c>
      <c r="O23" t="s">
        <v>113</v>
      </c>
      <c r="P23">
        <v>1</v>
      </c>
      <c r="Q23">
        <v>0</v>
      </c>
      <c r="R23">
        <v>1</v>
      </c>
      <c r="S23">
        <v>1</v>
      </c>
      <c r="T23">
        <v>0</v>
      </c>
      <c r="U23" s="1">
        <f t="shared" si="0"/>
        <v>0.51724137931034486</v>
      </c>
      <c r="X23" s="1"/>
    </row>
    <row r="24" spans="1:24" x14ac:dyDescent="0.2">
      <c r="A24" t="s">
        <v>114</v>
      </c>
      <c r="B24">
        <v>20242025</v>
      </c>
      <c r="C24" t="s">
        <v>115</v>
      </c>
      <c r="D24" t="s">
        <v>7</v>
      </c>
      <c r="E24">
        <v>31</v>
      </c>
      <c r="F24">
        <v>28</v>
      </c>
      <c r="G24">
        <v>16</v>
      </c>
      <c r="H24">
        <v>8</v>
      </c>
      <c r="I24">
        <v>3</v>
      </c>
      <c r="J24">
        <v>767</v>
      </c>
      <c r="K24">
        <v>693</v>
      </c>
      <c r="L24">
        <v>74</v>
      </c>
      <c r="M24">
        <v>0.90400000000000003</v>
      </c>
      <c r="N24">
        <v>2.64</v>
      </c>
      <c r="O24" t="s">
        <v>116</v>
      </c>
      <c r="P24">
        <v>1</v>
      </c>
      <c r="Q24">
        <v>0</v>
      </c>
      <c r="R24">
        <v>1</v>
      </c>
      <c r="S24">
        <v>1</v>
      </c>
      <c r="T24">
        <v>2</v>
      </c>
      <c r="U24" s="1">
        <f t="shared" si="0"/>
        <v>0.56451612903225812</v>
      </c>
      <c r="X24" s="1"/>
    </row>
    <row r="25" spans="1:24" x14ac:dyDescent="0.2">
      <c r="A25" t="s">
        <v>117</v>
      </c>
      <c r="B25">
        <v>20242025</v>
      </c>
      <c r="C25" t="s">
        <v>49</v>
      </c>
      <c r="D25" t="s">
        <v>7</v>
      </c>
      <c r="E25">
        <v>54</v>
      </c>
      <c r="F25">
        <v>49</v>
      </c>
      <c r="G25">
        <v>23</v>
      </c>
      <c r="H25">
        <v>23</v>
      </c>
      <c r="I25">
        <v>7</v>
      </c>
      <c r="J25" t="s">
        <v>118</v>
      </c>
      <c r="K25" t="s">
        <v>119</v>
      </c>
      <c r="L25">
        <v>158</v>
      </c>
      <c r="M25">
        <v>0.90300000000000002</v>
      </c>
      <c r="N25">
        <v>3.1</v>
      </c>
      <c r="O25" t="s">
        <v>120</v>
      </c>
      <c r="P25">
        <v>1</v>
      </c>
      <c r="Q25">
        <v>0</v>
      </c>
      <c r="R25">
        <v>0</v>
      </c>
      <c r="S25">
        <v>0</v>
      </c>
      <c r="T25">
        <v>0</v>
      </c>
      <c r="U25" s="1">
        <f t="shared" si="0"/>
        <v>0.49074074074074076</v>
      </c>
      <c r="X25" s="1"/>
    </row>
    <row r="26" spans="1:24" x14ac:dyDescent="0.2">
      <c r="A26" t="s">
        <v>121</v>
      </c>
      <c r="B26">
        <v>20242025</v>
      </c>
      <c r="C26" t="s">
        <v>122</v>
      </c>
      <c r="D26" t="s">
        <v>7</v>
      </c>
      <c r="E26">
        <v>38</v>
      </c>
      <c r="F26">
        <v>36</v>
      </c>
      <c r="G26">
        <v>17</v>
      </c>
      <c r="H26">
        <v>16</v>
      </c>
      <c r="I26">
        <v>3</v>
      </c>
      <c r="J26" t="s">
        <v>123</v>
      </c>
      <c r="K26">
        <v>912</v>
      </c>
      <c r="L26">
        <v>100</v>
      </c>
      <c r="M26">
        <v>0.90200000000000002</v>
      </c>
      <c r="N26">
        <v>2.72</v>
      </c>
      <c r="O26" t="s">
        <v>124</v>
      </c>
      <c r="P26">
        <v>2</v>
      </c>
      <c r="Q26">
        <v>0</v>
      </c>
      <c r="R26">
        <v>2</v>
      </c>
      <c r="S26">
        <v>2</v>
      </c>
      <c r="T26">
        <v>0</v>
      </c>
      <c r="U26" s="1">
        <f t="shared" si="0"/>
        <v>0.48684210526315791</v>
      </c>
      <c r="X26" s="1"/>
    </row>
    <row r="27" spans="1:24" x14ac:dyDescent="0.2">
      <c r="A27" t="s">
        <v>125</v>
      </c>
      <c r="B27">
        <v>20242025</v>
      </c>
      <c r="C27" t="s">
        <v>126</v>
      </c>
      <c r="D27" t="s">
        <v>7</v>
      </c>
      <c r="E27">
        <v>51</v>
      </c>
      <c r="F27">
        <v>49</v>
      </c>
      <c r="G27">
        <v>25</v>
      </c>
      <c r="H27">
        <v>15</v>
      </c>
      <c r="I27">
        <v>10</v>
      </c>
      <c r="J27" t="s">
        <v>127</v>
      </c>
      <c r="K27" t="s">
        <v>128</v>
      </c>
      <c r="L27">
        <v>132</v>
      </c>
      <c r="M27">
        <v>0.90200000000000002</v>
      </c>
      <c r="N27">
        <v>2.62</v>
      </c>
      <c r="O27" t="s">
        <v>129</v>
      </c>
      <c r="P27">
        <v>4</v>
      </c>
      <c r="Q27">
        <v>0</v>
      </c>
      <c r="R27">
        <v>1</v>
      </c>
      <c r="S27">
        <v>1</v>
      </c>
      <c r="T27">
        <v>0</v>
      </c>
      <c r="U27" s="1">
        <f t="shared" si="0"/>
        <v>0.58823529411764708</v>
      </c>
      <c r="X27" s="1"/>
    </row>
    <row r="28" spans="1:24" x14ac:dyDescent="0.2">
      <c r="A28" t="s">
        <v>130</v>
      </c>
      <c r="B28">
        <v>20242025</v>
      </c>
      <c r="C28" t="s">
        <v>131</v>
      </c>
      <c r="D28" t="s">
        <v>7</v>
      </c>
      <c r="E28">
        <v>62</v>
      </c>
      <c r="F28">
        <v>60</v>
      </c>
      <c r="G28">
        <v>31</v>
      </c>
      <c r="H28">
        <v>24</v>
      </c>
      <c r="I28">
        <v>7</v>
      </c>
      <c r="J28" t="s">
        <v>132</v>
      </c>
      <c r="K28" t="s">
        <v>133</v>
      </c>
      <c r="L28">
        <v>166</v>
      </c>
      <c r="M28">
        <v>0.90200000000000002</v>
      </c>
      <c r="N28">
        <v>2.82</v>
      </c>
      <c r="O28" t="s">
        <v>134</v>
      </c>
      <c r="P28">
        <v>4</v>
      </c>
      <c r="Q28">
        <v>0</v>
      </c>
      <c r="R28">
        <v>1</v>
      </c>
      <c r="S28">
        <v>1</v>
      </c>
      <c r="T28">
        <v>0</v>
      </c>
      <c r="U28" s="1">
        <f t="shared" si="0"/>
        <v>0.55645161290322576</v>
      </c>
      <c r="X28" s="1"/>
    </row>
    <row r="29" spans="1:24" x14ac:dyDescent="0.2">
      <c r="A29" t="s">
        <v>135</v>
      </c>
      <c r="B29">
        <v>20242025</v>
      </c>
      <c r="C29" t="s">
        <v>136</v>
      </c>
      <c r="D29" t="s">
        <v>7</v>
      </c>
      <c r="E29">
        <v>47</v>
      </c>
      <c r="F29">
        <v>43</v>
      </c>
      <c r="G29">
        <v>21</v>
      </c>
      <c r="H29">
        <v>19</v>
      </c>
      <c r="I29">
        <v>5</v>
      </c>
      <c r="J29" t="s">
        <v>137</v>
      </c>
      <c r="K29" t="s">
        <v>138</v>
      </c>
      <c r="L29">
        <v>129</v>
      </c>
      <c r="M29">
        <v>0.90100000000000002</v>
      </c>
      <c r="N29">
        <v>2.93</v>
      </c>
      <c r="O29" t="s">
        <v>139</v>
      </c>
      <c r="P29">
        <v>2</v>
      </c>
      <c r="Q29">
        <v>0</v>
      </c>
      <c r="R29">
        <v>0</v>
      </c>
      <c r="S29">
        <v>0</v>
      </c>
      <c r="T29">
        <v>0</v>
      </c>
      <c r="U29" s="1">
        <f t="shared" si="0"/>
        <v>0.5</v>
      </c>
      <c r="X29" s="1"/>
    </row>
    <row r="30" spans="1:24" x14ac:dyDescent="0.2">
      <c r="A30" t="s">
        <v>140</v>
      </c>
      <c r="B30">
        <v>20242025</v>
      </c>
      <c r="C30" t="s">
        <v>63</v>
      </c>
      <c r="D30" t="s">
        <v>7</v>
      </c>
      <c r="E30">
        <v>30</v>
      </c>
      <c r="F30">
        <v>27</v>
      </c>
      <c r="G30">
        <v>11</v>
      </c>
      <c r="H30">
        <v>12</v>
      </c>
      <c r="I30">
        <v>3</v>
      </c>
      <c r="J30">
        <v>768</v>
      </c>
      <c r="K30">
        <v>692</v>
      </c>
      <c r="L30">
        <v>76</v>
      </c>
      <c r="M30">
        <v>0.90100000000000002</v>
      </c>
      <c r="N30">
        <v>2.72</v>
      </c>
      <c r="O30" t="s">
        <v>141</v>
      </c>
      <c r="P30">
        <v>3</v>
      </c>
      <c r="Q30">
        <v>0</v>
      </c>
      <c r="R30">
        <v>0</v>
      </c>
      <c r="S30">
        <v>0</v>
      </c>
      <c r="T30">
        <v>0</v>
      </c>
      <c r="U30" s="1">
        <f t="shared" si="0"/>
        <v>0.41666666666666669</v>
      </c>
      <c r="X30" s="1"/>
    </row>
    <row r="31" spans="1:24" x14ac:dyDescent="0.2">
      <c r="A31" t="s">
        <v>142</v>
      </c>
      <c r="B31">
        <v>20242025</v>
      </c>
      <c r="C31" t="s">
        <v>115</v>
      </c>
      <c r="D31" t="s">
        <v>7</v>
      </c>
      <c r="E31">
        <v>56</v>
      </c>
      <c r="F31">
        <v>54</v>
      </c>
      <c r="G31">
        <v>28</v>
      </c>
      <c r="H31">
        <v>22</v>
      </c>
      <c r="I31">
        <v>5</v>
      </c>
      <c r="J31" t="s">
        <v>143</v>
      </c>
      <c r="K31" t="s">
        <v>144</v>
      </c>
      <c r="L31">
        <v>145</v>
      </c>
      <c r="M31">
        <v>0.9</v>
      </c>
      <c r="N31">
        <v>2.69</v>
      </c>
      <c r="O31" t="s">
        <v>145</v>
      </c>
      <c r="P31">
        <v>3</v>
      </c>
      <c r="Q31">
        <v>0</v>
      </c>
      <c r="R31">
        <v>0</v>
      </c>
      <c r="S31">
        <v>0</v>
      </c>
      <c r="T31">
        <v>6</v>
      </c>
      <c r="U31" s="1">
        <f t="shared" si="0"/>
        <v>0.5446428571428571</v>
      </c>
      <c r="X31" s="1"/>
    </row>
    <row r="32" spans="1:24" x14ac:dyDescent="0.2">
      <c r="A32" t="s">
        <v>146</v>
      </c>
      <c r="B32">
        <v>20242025</v>
      </c>
      <c r="C32" t="s">
        <v>80</v>
      </c>
      <c r="D32" t="s">
        <v>7</v>
      </c>
      <c r="E32">
        <v>49</v>
      </c>
      <c r="F32">
        <v>49</v>
      </c>
      <c r="G32">
        <v>26</v>
      </c>
      <c r="H32">
        <v>16</v>
      </c>
      <c r="I32">
        <v>6</v>
      </c>
      <c r="J32" t="s">
        <v>147</v>
      </c>
      <c r="K32" t="s">
        <v>148</v>
      </c>
      <c r="L32">
        <v>121</v>
      </c>
      <c r="M32">
        <v>0.9</v>
      </c>
      <c r="N32">
        <v>2.5</v>
      </c>
      <c r="O32" t="s">
        <v>149</v>
      </c>
      <c r="P32">
        <v>4</v>
      </c>
      <c r="Q32">
        <v>0</v>
      </c>
      <c r="R32">
        <v>0</v>
      </c>
      <c r="S32">
        <v>0</v>
      </c>
      <c r="T32">
        <v>0</v>
      </c>
      <c r="U32" s="1">
        <f t="shared" si="0"/>
        <v>0.59183673469387754</v>
      </c>
      <c r="X32" s="1"/>
    </row>
    <row r="33" spans="1:24" x14ac:dyDescent="0.2">
      <c r="A33" t="s">
        <v>151</v>
      </c>
      <c r="B33">
        <v>20242025</v>
      </c>
      <c r="C33" t="s">
        <v>152</v>
      </c>
      <c r="D33" t="s">
        <v>7</v>
      </c>
      <c r="E33">
        <v>22</v>
      </c>
      <c r="F33">
        <v>22</v>
      </c>
      <c r="G33">
        <v>13</v>
      </c>
      <c r="H33">
        <v>8</v>
      </c>
      <c r="I33">
        <v>1</v>
      </c>
      <c r="J33">
        <v>546</v>
      </c>
      <c r="K33">
        <v>491</v>
      </c>
      <c r="L33">
        <v>55</v>
      </c>
      <c r="M33">
        <v>0.89900000000000002</v>
      </c>
      <c r="N33">
        <v>2.5</v>
      </c>
      <c r="O33" t="s">
        <v>153</v>
      </c>
      <c r="P33">
        <v>1</v>
      </c>
      <c r="Q33">
        <v>0</v>
      </c>
      <c r="R33">
        <v>1</v>
      </c>
      <c r="S33">
        <v>1</v>
      </c>
      <c r="T33">
        <v>0</v>
      </c>
      <c r="U33" s="1">
        <f t="shared" si="0"/>
        <v>0.61363636363636365</v>
      </c>
      <c r="X33" s="1"/>
    </row>
    <row r="34" spans="1:24" x14ac:dyDescent="0.2">
      <c r="A34" t="s">
        <v>154</v>
      </c>
      <c r="B34">
        <v>20242025</v>
      </c>
      <c r="C34" t="s">
        <v>44</v>
      </c>
      <c r="D34" t="s">
        <v>7</v>
      </c>
      <c r="E34">
        <v>26</v>
      </c>
      <c r="F34">
        <v>22</v>
      </c>
      <c r="G34">
        <v>14</v>
      </c>
      <c r="H34">
        <v>9</v>
      </c>
      <c r="I34">
        <v>1</v>
      </c>
      <c r="J34">
        <v>670</v>
      </c>
      <c r="K34">
        <v>602</v>
      </c>
      <c r="L34">
        <v>68</v>
      </c>
      <c r="M34">
        <v>0.89900000000000002</v>
      </c>
      <c r="N34">
        <v>2.93</v>
      </c>
      <c r="O34" t="s">
        <v>155</v>
      </c>
      <c r="P34">
        <v>1</v>
      </c>
      <c r="Q34">
        <v>0</v>
      </c>
      <c r="R34">
        <v>0</v>
      </c>
      <c r="S34">
        <v>0</v>
      </c>
      <c r="T34">
        <v>2</v>
      </c>
      <c r="U34" s="1">
        <f t="shared" si="0"/>
        <v>0.55769230769230771</v>
      </c>
      <c r="X34" s="1"/>
    </row>
    <row r="35" spans="1:24" x14ac:dyDescent="0.2">
      <c r="A35" t="s">
        <v>156</v>
      </c>
      <c r="B35">
        <v>20242025</v>
      </c>
      <c r="C35" t="s">
        <v>157</v>
      </c>
      <c r="D35" t="s">
        <v>7</v>
      </c>
      <c r="E35">
        <v>36</v>
      </c>
      <c r="F35">
        <v>33</v>
      </c>
      <c r="G35">
        <v>10</v>
      </c>
      <c r="H35">
        <v>18</v>
      </c>
      <c r="I35">
        <v>7</v>
      </c>
      <c r="J35" t="s">
        <v>158</v>
      </c>
      <c r="K35">
        <v>976</v>
      </c>
      <c r="L35">
        <v>111</v>
      </c>
      <c r="M35">
        <v>0.89800000000000002</v>
      </c>
      <c r="N35">
        <v>3.18</v>
      </c>
      <c r="O35" t="s">
        <v>159</v>
      </c>
      <c r="P35">
        <v>0</v>
      </c>
      <c r="Q35">
        <v>0</v>
      </c>
      <c r="R35">
        <v>0</v>
      </c>
      <c r="S35">
        <v>0</v>
      </c>
      <c r="T35">
        <v>0</v>
      </c>
      <c r="U35" s="1">
        <f t="shared" si="0"/>
        <v>0.375</v>
      </c>
      <c r="X35" s="1"/>
    </row>
    <row r="36" spans="1:24" x14ac:dyDescent="0.2">
      <c r="A36" t="s">
        <v>160</v>
      </c>
      <c r="B36">
        <v>20242025</v>
      </c>
      <c r="C36" t="s">
        <v>152</v>
      </c>
      <c r="D36" t="s">
        <v>7</v>
      </c>
      <c r="E36">
        <v>47</v>
      </c>
      <c r="F36">
        <v>47</v>
      </c>
      <c r="G36">
        <v>27</v>
      </c>
      <c r="H36">
        <v>16</v>
      </c>
      <c r="I36">
        <v>3</v>
      </c>
      <c r="J36" t="s">
        <v>59</v>
      </c>
      <c r="K36" t="s">
        <v>161</v>
      </c>
      <c r="L36">
        <v>121</v>
      </c>
      <c r="M36">
        <v>0.89800000000000002</v>
      </c>
      <c r="N36">
        <v>2.6</v>
      </c>
      <c r="O36" t="s">
        <v>162</v>
      </c>
      <c r="P36">
        <v>2</v>
      </c>
      <c r="Q36">
        <v>0</v>
      </c>
      <c r="R36">
        <v>3</v>
      </c>
      <c r="S36">
        <v>3</v>
      </c>
      <c r="T36">
        <v>8</v>
      </c>
      <c r="U36" s="1">
        <f t="shared" si="0"/>
        <v>0.6063829787234043</v>
      </c>
      <c r="X36" s="1"/>
    </row>
    <row r="37" spans="1:24" x14ac:dyDescent="0.2">
      <c r="A37" t="s">
        <v>163</v>
      </c>
      <c r="B37">
        <v>20242025</v>
      </c>
      <c r="C37" t="s">
        <v>68</v>
      </c>
      <c r="D37" t="s">
        <v>7</v>
      </c>
      <c r="E37">
        <v>30</v>
      </c>
      <c r="F37">
        <v>29</v>
      </c>
      <c r="G37">
        <v>12</v>
      </c>
      <c r="H37">
        <v>11</v>
      </c>
      <c r="I37">
        <v>6</v>
      </c>
      <c r="J37">
        <v>810</v>
      </c>
      <c r="K37">
        <v>727</v>
      </c>
      <c r="L37">
        <v>83</v>
      </c>
      <c r="M37">
        <v>0.89800000000000002</v>
      </c>
      <c r="N37">
        <v>2.8</v>
      </c>
      <c r="O37" t="s">
        <v>164</v>
      </c>
      <c r="P37">
        <v>2</v>
      </c>
      <c r="Q37">
        <v>0</v>
      </c>
      <c r="R37">
        <v>1</v>
      </c>
      <c r="S37">
        <v>1</v>
      </c>
      <c r="T37">
        <v>2</v>
      </c>
      <c r="U37" s="1">
        <f t="shared" si="0"/>
        <v>0.5</v>
      </c>
      <c r="X37" s="1"/>
    </row>
    <row r="38" spans="1:24" x14ac:dyDescent="0.2">
      <c r="A38" t="s">
        <v>165</v>
      </c>
      <c r="B38">
        <v>20242025</v>
      </c>
      <c r="C38" t="s">
        <v>166</v>
      </c>
      <c r="D38" t="s">
        <v>7</v>
      </c>
      <c r="E38">
        <v>24</v>
      </c>
      <c r="F38">
        <v>21</v>
      </c>
      <c r="G38">
        <v>10</v>
      </c>
      <c r="H38">
        <v>10</v>
      </c>
      <c r="I38">
        <v>2</v>
      </c>
      <c r="J38">
        <v>662</v>
      </c>
      <c r="K38">
        <v>594</v>
      </c>
      <c r="L38">
        <v>69</v>
      </c>
      <c r="M38">
        <v>0.89700000000000002</v>
      </c>
      <c r="N38">
        <v>3.04</v>
      </c>
      <c r="O38" t="s">
        <v>167</v>
      </c>
      <c r="P38">
        <v>1</v>
      </c>
      <c r="Q38">
        <v>0</v>
      </c>
      <c r="R38">
        <v>0</v>
      </c>
      <c r="S38">
        <v>0</v>
      </c>
      <c r="T38">
        <v>0</v>
      </c>
      <c r="U38" s="1">
        <f t="shared" si="0"/>
        <v>0.45833333333333331</v>
      </c>
      <c r="X38" s="1"/>
    </row>
    <row r="39" spans="1:24" x14ac:dyDescent="0.2">
      <c r="A39" t="s">
        <v>168</v>
      </c>
      <c r="B39">
        <v>20242025</v>
      </c>
      <c r="C39" t="s">
        <v>136</v>
      </c>
      <c r="D39" t="s">
        <v>7</v>
      </c>
      <c r="E39">
        <v>30</v>
      </c>
      <c r="F39">
        <v>26</v>
      </c>
      <c r="G39">
        <v>14</v>
      </c>
      <c r="H39">
        <v>9</v>
      </c>
      <c r="I39">
        <v>1</v>
      </c>
      <c r="J39">
        <v>705</v>
      </c>
      <c r="K39">
        <v>632</v>
      </c>
      <c r="L39">
        <v>73</v>
      </c>
      <c r="M39">
        <v>0.89600000000000002</v>
      </c>
      <c r="N39">
        <v>2.81</v>
      </c>
      <c r="O39" t="s">
        <v>169</v>
      </c>
      <c r="P39">
        <v>1</v>
      </c>
      <c r="Q39">
        <v>0</v>
      </c>
      <c r="R39">
        <v>0</v>
      </c>
      <c r="S39">
        <v>0</v>
      </c>
      <c r="T39">
        <v>2</v>
      </c>
      <c r="U39" s="1">
        <f t="shared" si="0"/>
        <v>0.48333333333333334</v>
      </c>
      <c r="X39" s="1"/>
    </row>
    <row r="40" spans="1:24" x14ac:dyDescent="0.2">
      <c r="A40" t="s">
        <v>170</v>
      </c>
      <c r="B40">
        <v>20242025</v>
      </c>
      <c r="C40" t="s">
        <v>57</v>
      </c>
      <c r="D40" t="s">
        <v>58</v>
      </c>
      <c r="E40">
        <v>39</v>
      </c>
      <c r="F40">
        <v>38</v>
      </c>
      <c r="G40">
        <v>20</v>
      </c>
      <c r="H40">
        <v>14</v>
      </c>
      <c r="I40">
        <v>3</v>
      </c>
      <c r="J40">
        <v>985</v>
      </c>
      <c r="K40">
        <v>883</v>
      </c>
      <c r="L40">
        <v>104</v>
      </c>
      <c r="M40">
        <v>0.89600000000000002</v>
      </c>
      <c r="N40">
        <v>2.73</v>
      </c>
      <c r="O40" t="s">
        <v>171</v>
      </c>
      <c r="P40">
        <v>1</v>
      </c>
      <c r="Q40">
        <v>0</v>
      </c>
      <c r="R40">
        <v>0</v>
      </c>
      <c r="S40">
        <v>0</v>
      </c>
      <c r="T40">
        <v>0</v>
      </c>
      <c r="U40" s="1">
        <f t="shared" si="0"/>
        <v>0.55128205128205132</v>
      </c>
      <c r="X40" s="1"/>
    </row>
    <row r="41" spans="1:24" x14ac:dyDescent="0.2">
      <c r="A41" t="s">
        <v>172</v>
      </c>
      <c r="B41">
        <v>20242025</v>
      </c>
      <c r="C41" t="s">
        <v>150</v>
      </c>
      <c r="D41" t="s">
        <v>7</v>
      </c>
      <c r="E41">
        <v>51</v>
      </c>
      <c r="F41">
        <v>50</v>
      </c>
      <c r="G41">
        <v>26</v>
      </c>
      <c r="H41">
        <v>18</v>
      </c>
      <c r="I41">
        <v>4</v>
      </c>
      <c r="J41" t="s">
        <v>173</v>
      </c>
      <c r="K41" t="s">
        <v>174</v>
      </c>
      <c r="L41">
        <v>138</v>
      </c>
      <c r="M41">
        <v>0.89600000000000002</v>
      </c>
      <c r="N41">
        <v>2.81</v>
      </c>
      <c r="O41" t="s">
        <v>175</v>
      </c>
      <c r="P41">
        <v>3</v>
      </c>
      <c r="Q41">
        <v>0</v>
      </c>
      <c r="R41">
        <v>0</v>
      </c>
      <c r="S41">
        <v>0</v>
      </c>
      <c r="T41">
        <v>0</v>
      </c>
      <c r="U41" s="1">
        <f t="shared" si="0"/>
        <v>0.5490196078431373</v>
      </c>
      <c r="X41" s="1"/>
    </row>
    <row r="42" spans="1:24" x14ac:dyDescent="0.2">
      <c r="A42" t="s">
        <v>176</v>
      </c>
      <c r="B42">
        <v>20242025</v>
      </c>
      <c r="C42" t="s">
        <v>177</v>
      </c>
      <c r="D42" t="s">
        <v>7</v>
      </c>
      <c r="E42">
        <v>58</v>
      </c>
      <c r="F42">
        <v>58</v>
      </c>
      <c r="G42">
        <v>20</v>
      </c>
      <c r="H42">
        <v>31</v>
      </c>
      <c r="I42">
        <v>6</v>
      </c>
      <c r="J42" t="s">
        <v>178</v>
      </c>
      <c r="K42" t="s">
        <v>179</v>
      </c>
      <c r="L42">
        <v>167</v>
      </c>
      <c r="M42">
        <v>0.89600000000000002</v>
      </c>
      <c r="N42">
        <v>2.98</v>
      </c>
      <c r="O42" t="s">
        <v>180</v>
      </c>
      <c r="P42">
        <v>4</v>
      </c>
      <c r="Q42">
        <v>0</v>
      </c>
      <c r="R42">
        <v>1</v>
      </c>
      <c r="S42">
        <v>1</v>
      </c>
      <c r="T42">
        <v>4</v>
      </c>
      <c r="U42" s="1">
        <f t="shared" si="0"/>
        <v>0.39655172413793105</v>
      </c>
      <c r="X42" s="1"/>
    </row>
    <row r="43" spans="1:24" x14ac:dyDescent="0.2">
      <c r="A43" t="s">
        <v>181</v>
      </c>
      <c r="B43">
        <v>20242025</v>
      </c>
      <c r="C43" t="s">
        <v>182</v>
      </c>
      <c r="D43" t="s">
        <v>7</v>
      </c>
      <c r="E43">
        <v>38</v>
      </c>
      <c r="F43">
        <v>35</v>
      </c>
      <c r="G43">
        <v>14</v>
      </c>
      <c r="H43">
        <v>15</v>
      </c>
      <c r="I43">
        <v>5</v>
      </c>
      <c r="J43" t="s">
        <v>183</v>
      </c>
      <c r="K43">
        <v>942</v>
      </c>
      <c r="L43">
        <v>112</v>
      </c>
      <c r="M43">
        <v>0.89400000000000002</v>
      </c>
      <c r="N43">
        <v>3.12</v>
      </c>
      <c r="O43" t="s">
        <v>184</v>
      </c>
      <c r="P43">
        <v>1</v>
      </c>
      <c r="Q43">
        <v>1</v>
      </c>
      <c r="R43">
        <v>2</v>
      </c>
      <c r="S43">
        <v>3</v>
      </c>
      <c r="T43">
        <v>2</v>
      </c>
      <c r="U43" s="1">
        <f t="shared" si="0"/>
        <v>0.43421052631578949</v>
      </c>
      <c r="X43" s="1"/>
    </row>
    <row r="44" spans="1:24" x14ac:dyDescent="0.2">
      <c r="A44" t="s">
        <v>185</v>
      </c>
      <c r="B44">
        <v>20242025</v>
      </c>
      <c r="C44" t="s">
        <v>105</v>
      </c>
      <c r="D44" t="s">
        <v>7</v>
      </c>
      <c r="E44">
        <v>24</v>
      </c>
      <c r="F44">
        <v>20</v>
      </c>
      <c r="G44">
        <v>11</v>
      </c>
      <c r="H44">
        <v>7</v>
      </c>
      <c r="I44">
        <v>2</v>
      </c>
      <c r="J44">
        <v>657</v>
      </c>
      <c r="K44">
        <v>587</v>
      </c>
      <c r="L44">
        <v>70</v>
      </c>
      <c r="M44">
        <v>0.89300000000000002</v>
      </c>
      <c r="N44">
        <v>3.17</v>
      </c>
      <c r="O44" t="s">
        <v>186</v>
      </c>
      <c r="P44">
        <v>3</v>
      </c>
      <c r="Q44">
        <v>0</v>
      </c>
      <c r="R44">
        <v>1</v>
      </c>
      <c r="S44">
        <v>1</v>
      </c>
      <c r="T44">
        <v>2</v>
      </c>
      <c r="U44" s="1">
        <f t="shared" si="0"/>
        <v>0.5</v>
      </c>
      <c r="X44" s="1"/>
    </row>
    <row r="45" spans="1:24" x14ac:dyDescent="0.2">
      <c r="A45" t="s">
        <v>187</v>
      </c>
      <c r="B45">
        <v>20242025</v>
      </c>
      <c r="C45" t="s">
        <v>188</v>
      </c>
      <c r="D45" t="s">
        <v>7</v>
      </c>
      <c r="E45">
        <v>27</v>
      </c>
      <c r="F45">
        <v>24</v>
      </c>
      <c r="G45">
        <v>11</v>
      </c>
      <c r="H45">
        <v>10</v>
      </c>
      <c r="I45">
        <v>3</v>
      </c>
      <c r="J45">
        <v>693</v>
      </c>
      <c r="K45">
        <v>619</v>
      </c>
      <c r="L45">
        <v>74</v>
      </c>
      <c r="M45">
        <v>0.89300000000000002</v>
      </c>
      <c r="N45">
        <v>2.9</v>
      </c>
      <c r="O45" t="s">
        <v>189</v>
      </c>
      <c r="P45">
        <v>3</v>
      </c>
      <c r="Q45">
        <v>0</v>
      </c>
      <c r="R45">
        <v>0</v>
      </c>
      <c r="S45">
        <v>0</v>
      </c>
      <c r="T45">
        <v>0</v>
      </c>
      <c r="U45" s="1">
        <f t="shared" si="0"/>
        <v>0.46296296296296297</v>
      </c>
      <c r="X45" s="1"/>
    </row>
    <row r="46" spans="1:24" x14ac:dyDescent="0.2">
      <c r="A46" t="s">
        <v>190</v>
      </c>
      <c r="B46">
        <v>20242025</v>
      </c>
      <c r="C46" t="s">
        <v>182</v>
      </c>
      <c r="D46" t="s">
        <v>7</v>
      </c>
      <c r="E46">
        <v>36</v>
      </c>
      <c r="F46">
        <v>35</v>
      </c>
      <c r="G46">
        <v>16</v>
      </c>
      <c r="H46">
        <v>12</v>
      </c>
      <c r="I46">
        <v>6</v>
      </c>
      <c r="J46">
        <v>971</v>
      </c>
      <c r="K46">
        <v>867</v>
      </c>
      <c r="L46">
        <v>105</v>
      </c>
      <c r="M46">
        <v>0.89300000000000002</v>
      </c>
      <c r="N46">
        <v>3.12</v>
      </c>
      <c r="O46" t="s">
        <v>191</v>
      </c>
      <c r="P46">
        <v>2</v>
      </c>
      <c r="Q46">
        <v>0</v>
      </c>
      <c r="R46">
        <v>1</v>
      </c>
      <c r="S46">
        <v>1</v>
      </c>
      <c r="T46">
        <v>2</v>
      </c>
      <c r="U46" s="1">
        <f t="shared" si="0"/>
        <v>0.52777777777777779</v>
      </c>
      <c r="X46" s="1"/>
    </row>
    <row r="47" spans="1:24" x14ac:dyDescent="0.2">
      <c r="A47" t="s">
        <v>192</v>
      </c>
      <c r="B47">
        <v>20242025</v>
      </c>
      <c r="C47" t="s">
        <v>188</v>
      </c>
      <c r="D47" t="s">
        <v>7</v>
      </c>
      <c r="E47">
        <v>58</v>
      </c>
      <c r="F47">
        <v>58</v>
      </c>
      <c r="G47">
        <v>22</v>
      </c>
      <c r="H47">
        <v>29</v>
      </c>
      <c r="I47">
        <v>7</v>
      </c>
      <c r="J47" t="s">
        <v>193</v>
      </c>
      <c r="K47" t="s">
        <v>194</v>
      </c>
      <c r="L47">
        <v>176</v>
      </c>
      <c r="M47">
        <v>0.89200000000000002</v>
      </c>
      <c r="N47">
        <v>3.11</v>
      </c>
      <c r="O47" t="s">
        <v>195</v>
      </c>
      <c r="P47">
        <v>4</v>
      </c>
      <c r="Q47">
        <v>0</v>
      </c>
      <c r="R47">
        <v>0</v>
      </c>
      <c r="S47">
        <v>0</v>
      </c>
      <c r="T47">
        <v>2</v>
      </c>
      <c r="U47" s="1">
        <f t="shared" si="0"/>
        <v>0.43965517241379309</v>
      </c>
      <c r="X47" s="1"/>
    </row>
    <row r="48" spans="1:24" x14ac:dyDescent="0.2">
      <c r="A48" t="s">
        <v>196</v>
      </c>
      <c r="B48">
        <v>20242025</v>
      </c>
      <c r="C48" t="s">
        <v>197</v>
      </c>
      <c r="D48" t="s">
        <v>7</v>
      </c>
      <c r="E48">
        <v>53</v>
      </c>
      <c r="F48">
        <v>52</v>
      </c>
      <c r="G48">
        <v>26</v>
      </c>
      <c r="H48">
        <v>21</v>
      </c>
      <c r="I48">
        <v>5</v>
      </c>
      <c r="J48" t="s">
        <v>198</v>
      </c>
      <c r="K48" t="s">
        <v>199</v>
      </c>
      <c r="L48">
        <v>168</v>
      </c>
      <c r="M48">
        <v>0.89200000000000002</v>
      </c>
      <c r="N48">
        <v>3.18</v>
      </c>
      <c r="O48" t="s">
        <v>200</v>
      </c>
      <c r="P48">
        <v>1</v>
      </c>
      <c r="Q48">
        <v>0</v>
      </c>
      <c r="R48">
        <v>1</v>
      </c>
      <c r="S48">
        <v>1</v>
      </c>
      <c r="T48">
        <v>8</v>
      </c>
      <c r="U48" s="1">
        <f t="shared" si="0"/>
        <v>0.53773584905660377</v>
      </c>
      <c r="X48" s="1"/>
    </row>
    <row r="49" spans="1:24" x14ac:dyDescent="0.2">
      <c r="A49" t="s">
        <v>201</v>
      </c>
      <c r="B49">
        <v>20242025</v>
      </c>
      <c r="C49" t="s">
        <v>202</v>
      </c>
      <c r="D49" t="s">
        <v>7</v>
      </c>
      <c r="E49">
        <v>38</v>
      </c>
      <c r="F49">
        <v>38</v>
      </c>
      <c r="G49">
        <v>12</v>
      </c>
      <c r="H49">
        <v>21</v>
      </c>
      <c r="I49">
        <v>2</v>
      </c>
      <c r="J49" t="s">
        <v>203</v>
      </c>
      <c r="K49">
        <v>950</v>
      </c>
      <c r="L49">
        <v>116</v>
      </c>
      <c r="M49">
        <v>0.89100000000000001</v>
      </c>
      <c r="N49">
        <v>3.35</v>
      </c>
      <c r="O49" t="s">
        <v>204</v>
      </c>
      <c r="P49">
        <v>1</v>
      </c>
      <c r="Q49">
        <v>0</v>
      </c>
      <c r="R49">
        <v>0</v>
      </c>
      <c r="S49">
        <v>0</v>
      </c>
      <c r="T49">
        <v>0</v>
      </c>
      <c r="U49" s="1">
        <f t="shared" si="0"/>
        <v>0.34210526315789475</v>
      </c>
      <c r="X49" s="1"/>
    </row>
    <row r="50" spans="1:24" x14ac:dyDescent="0.2">
      <c r="A50" t="s">
        <v>205</v>
      </c>
      <c r="B50">
        <v>20242025</v>
      </c>
      <c r="C50" t="s">
        <v>91</v>
      </c>
      <c r="D50" t="s">
        <v>7</v>
      </c>
      <c r="E50">
        <v>29</v>
      </c>
      <c r="F50">
        <v>29</v>
      </c>
      <c r="G50">
        <v>16</v>
      </c>
      <c r="H50">
        <v>9</v>
      </c>
      <c r="I50">
        <v>4</v>
      </c>
      <c r="J50">
        <v>752</v>
      </c>
      <c r="K50">
        <v>670</v>
      </c>
      <c r="L50">
        <v>82</v>
      </c>
      <c r="M50">
        <v>0.89100000000000001</v>
      </c>
      <c r="N50">
        <v>2.82</v>
      </c>
      <c r="O50" t="s">
        <v>206</v>
      </c>
      <c r="P50">
        <v>2</v>
      </c>
      <c r="Q50">
        <v>0</v>
      </c>
      <c r="R50">
        <v>1</v>
      </c>
      <c r="S50">
        <v>1</v>
      </c>
      <c r="T50">
        <v>4</v>
      </c>
      <c r="U50" s="1">
        <f t="shared" si="0"/>
        <v>0.62068965517241381</v>
      </c>
      <c r="X50" s="1"/>
    </row>
    <row r="51" spans="1:24" x14ac:dyDescent="0.2">
      <c r="A51" t="s">
        <v>207</v>
      </c>
      <c r="B51">
        <v>20242025</v>
      </c>
      <c r="C51" t="s">
        <v>126</v>
      </c>
      <c r="D51" t="s">
        <v>7</v>
      </c>
      <c r="E51">
        <v>23</v>
      </c>
      <c r="F51">
        <v>23</v>
      </c>
      <c r="G51">
        <v>10</v>
      </c>
      <c r="H51">
        <v>8</v>
      </c>
      <c r="I51">
        <v>3</v>
      </c>
      <c r="J51">
        <v>569</v>
      </c>
      <c r="K51">
        <v>506</v>
      </c>
      <c r="L51">
        <v>63</v>
      </c>
      <c r="M51">
        <v>0.88900000000000001</v>
      </c>
      <c r="N51">
        <v>2.9</v>
      </c>
      <c r="O51" t="s">
        <v>208</v>
      </c>
      <c r="P51">
        <v>1</v>
      </c>
      <c r="Q51">
        <v>0</v>
      </c>
      <c r="R51">
        <v>0</v>
      </c>
      <c r="S51">
        <v>0</v>
      </c>
      <c r="T51">
        <v>0</v>
      </c>
      <c r="U51" s="1">
        <f t="shared" si="0"/>
        <v>0.5</v>
      </c>
      <c r="X51" s="1"/>
    </row>
    <row r="52" spans="1:24" x14ac:dyDescent="0.2">
      <c r="A52" t="s">
        <v>209</v>
      </c>
      <c r="B52">
        <v>20242025</v>
      </c>
      <c r="C52" t="s">
        <v>29</v>
      </c>
      <c r="D52" t="s">
        <v>7</v>
      </c>
      <c r="E52">
        <v>34</v>
      </c>
      <c r="F52">
        <v>31</v>
      </c>
      <c r="G52">
        <v>16</v>
      </c>
      <c r="H52">
        <v>14</v>
      </c>
      <c r="I52">
        <v>2</v>
      </c>
      <c r="J52">
        <v>771</v>
      </c>
      <c r="K52">
        <v>684</v>
      </c>
      <c r="L52">
        <v>88</v>
      </c>
      <c r="M52">
        <v>0.88700000000000001</v>
      </c>
      <c r="N52">
        <v>2.84</v>
      </c>
      <c r="O52" t="s">
        <v>210</v>
      </c>
      <c r="P52">
        <v>0</v>
      </c>
      <c r="Q52">
        <v>0</v>
      </c>
      <c r="R52">
        <v>0</v>
      </c>
      <c r="S52">
        <v>0</v>
      </c>
      <c r="T52">
        <v>2</v>
      </c>
      <c r="U52" s="1">
        <f t="shared" si="0"/>
        <v>0.5</v>
      </c>
      <c r="X52" s="1"/>
    </row>
    <row r="53" spans="1:24" x14ac:dyDescent="0.2">
      <c r="A53" t="s">
        <v>211</v>
      </c>
      <c r="B53">
        <v>20242025</v>
      </c>
      <c r="C53" t="s">
        <v>212</v>
      </c>
      <c r="D53" t="s">
        <v>7</v>
      </c>
      <c r="E53">
        <v>55</v>
      </c>
      <c r="F53">
        <v>55</v>
      </c>
      <c r="G53">
        <v>24</v>
      </c>
      <c r="H53">
        <v>24</v>
      </c>
      <c r="I53">
        <v>5</v>
      </c>
      <c r="J53" t="s">
        <v>213</v>
      </c>
      <c r="K53" t="s">
        <v>214</v>
      </c>
      <c r="L53">
        <v>169</v>
      </c>
      <c r="M53">
        <v>0.88700000000000001</v>
      </c>
      <c r="N53">
        <v>3.2</v>
      </c>
      <c r="O53" t="s">
        <v>215</v>
      </c>
      <c r="P53">
        <v>2</v>
      </c>
      <c r="Q53">
        <v>0</v>
      </c>
      <c r="R53">
        <v>1</v>
      </c>
      <c r="S53">
        <v>1</v>
      </c>
      <c r="T53">
        <v>2</v>
      </c>
      <c r="U53" s="1">
        <f t="shared" si="0"/>
        <v>0.48181818181818181</v>
      </c>
      <c r="X53" s="1"/>
    </row>
    <row r="54" spans="1:24" x14ac:dyDescent="0.2">
      <c r="A54" t="s">
        <v>216</v>
      </c>
      <c r="B54">
        <v>20242025</v>
      </c>
      <c r="C54" t="s">
        <v>217</v>
      </c>
      <c r="D54" t="s">
        <v>7</v>
      </c>
      <c r="E54">
        <v>25</v>
      </c>
      <c r="F54">
        <v>24</v>
      </c>
      <c r="G54">
        <v>5</v>
      </c>
      <c r="H54">
        <v>14</v>
      </c>
      <c r="I54">
        <v>4</v>
      </c>
      <c r="J54">
        <v>724</v>
      </c>
      <c r="K54">
        <v>640</v>
      </c>
      <c r="L54">
        <v>84</v>
      </c>
      <c r="M54">
        <v>0.88400000000000001</v>
      </c>
      <c r="N54">
        <v>3.62</v>
      </c>
      <c r="O54" t="s">
        <v>218</v>
      </c>
      <c r="P54">
        <v>1</v>
      </c>
      <c r="Q54">
        <v>0</v>
      </c>
      <c r="R54">
        <v>1</v>
      </c>
      <c r="S54">
        <v>1</v>
      </c>
      <c r="T54">
        <v>0</v>
      </c>
      <c r="U54" s="1">
        <f t="shared" si="0"/>
        <v>0.28000000000000003</v>
      </c>
      <c r="X54" s="1"/>
    </row>
    <row r="55" spans="1:24" x14ac:dyDescent="0.2">
      <c r="A55" t="s">
        <v>219</v>
      </c>
      <c r="B55">
        <v>20242025</v>
      </c>
      <c r="C55" t="s">
        <v>220</v>
      </c>
      <c r="D55" t="s">
        <v>7</v>
      </c>
      <c r="E55">
        <v>34</v>
      </c>
      <c r="F55">
        <v>29</v>
      </c>
      <c r="G55">
        <v>15</v>
      </c>
      <c r="H55">
        <v>15</v>
      </c>
      <c r="I55">
        <v>1</v>
      </c>
      <c r="J55">
        <v>814</v>
      </c>
      <c r="K55">
        <v>719</v>
      </c>
      <c r="L55">
        <v>95</v>
      </c>
      <c r="M55">
        <v>0.88300000000000001</v>
      </c>
      <c r="N55">
        <v>3.18</v>
      </c>
      <c r="O55" t="s">
        <v>221</v>
      </c>
      <c r="P55">
        <v>0</v>
      </c>
      <c r="Q55">
        <v>0</v>
      </c>
      <c r="R55">
        <v>0</v>
      </c>
      <c r="S55">
        <v>0</v>
      </c>
      <c r="T55">
        <v>0</v>
      </c>
      <c r="U55" s="1">
        <f t="shared" si="0"/>
        <v>0.45588235294117646</v>
      </c>
      <c r="X55" s="1"/>
    </row>
    <row r="56" spans="1:24" x14ac:dyDescent="0.2">
      <c r="A56" t="s">
        <v>222</v>
      </c>
      <c r="B56">
        <v>20242025</v>
      </c>
      <c r="C56" t="s">
        <v>223</v>
      </c>
      <c r="D56" t="s">
        <v>7</v>
      </c>
      <c r="E56">
        <v>47</v>
      </c>
      <c r="F56">
        <v>45</v>
      </c>
      <c r="G56">
        <v>22</v>
      </c>
      <c r="H56">
        <v>17</v>
      </c>
      <c r="I56">
        <v>5</v>
      </c>
      <c r="J56" t="s">
        <v>224</v>
      </c>
      <c r="K56" t="s">
        <v>225</v>
      </c>
      <c r="L56">
        <v>136</v>
      </c>
      <c r="M56">
        <v>0.88300000000000001</v>
      </c>
      <c r="N56">
        <v>3.14</v>
      </c>
      <c r="O56" t="s">
        <v>226</v>
      </c>
      <c r="P56">
        <v>2</v>
      </c>
      <c r="Q56">
        <v>0</v>
      </c>
      <c r="R56">
        <v>0</v>
      </c>
      <c r="S56">
        <v>0</v>
      </c>
      <c r="T56">
        <v>2</v>
      </c>
      <c r="U56" s="1">
        <f t="shared" si="0"/>
        <v>0.52127659574468088</v>
      </c>
      <c r="X56" s="1"/>
    </row>
    <row r="57" spans="1:24" x14ac:dyDescent="0.2">
      <c r="A57" t="s">
        <v>227</v>
      </c>
      <c r="B57">
        <v>20242025</v>
      </c>
      <c r="C57" t="s">
        <v>110</v>
      </c>
      <c r="D57" t="s">
        <v>7</v>
      </c>
      <c r="E57">
        <v>22</v>
      </c>
      <c r="F57">
        <v>22</v>
      </c>
      <c r="G57">
        <v>9</v>
      </c>
      <c r="H57">
        <v>8</v>
      </c>
      <c r="I57">
        <v>4</v>
      </c>
      <c r="J57">
        <v>558</v>
      </c>
      <c r="K57">
        <v>492</v>
      </c>
      <c r="L57">
        <v>66</v>
      </c>
      <c r="M57">
        <v>0.88200000000000001</v>
      </c>
      <c r="N57">
        <v>3.27</v>
      </c>
      <c r="O57" t="s">
        <v>228</v>
      </c>
      <c r="P57">
        <v>0</v>
      </c>
      <c r="Q57">
        <v>0</v>
      </c>
      <c r="R57">
        <v>2</v>
      </c>
      <c r="S57">
        <v>2</v>
      </c>
      <c r="T57">
        <v>4</v>
      </c>
      <c r="U57" s="1">
        <f t="shared" si="0"/>
        <v>0.5</v>
      </c>
      <c r="X57" s="1"/>
    </row>
    <row r="58" spans="1:24" x14ac:dyDescent="0.2">
      <c r="A58" t="s">
        <v>229</v>
      </c>
      <c r="B58">
        <v>20242025</v>
      </c>
      <c r="C58" t="s">
        <v>197</v>
      </c>
      <c r="D58" t="s">
        <v>7</v>
      </c>
      <c r="E58">
        <v>20</v>
      </c>
      <c r="F58">
        <v>19</v>
      </c>
      <c r="G58">
        <v>7</v>
      </c>
      <c r="H58">
        <v>10</v>
      </c>
      <c r="I58">
        <v>2</v>
      </c>
      <c r="J58">
        <v>544</v>
      </c>
      <c r="K58">
        <v>479</v>
      </c>
      <c r="L58">
        <v>65</v>
      </c>
      <c r="M58">
        <v>0.88100000000000001</v>
      </c>
      <c r="N58">
        <v>3.54</v>
      </c>
      <c r="O58" t="s">
        <v>230</v>
      </c>
      <c r="P58">
        <v>1</v>
      </c>
      <c r="Q58">
        <v>0</v>
      </c>
      <c r="R58">
        <v>1</v>
      </c>
      <c r="S58">
        <v>1</v>
      </c>
      <c r="T58">
        <v>0</v>
      </c>
      <c r="U58" s="1">
        <f t="shared" si="0"/>
        <v>0.4</v>
      </c>
      <c r="X58" s="1"/>
    </row>
    <row r="59" spans="1:24" x14ac:dyDescent="0.2">
      <c r="A59" t="s">
        <v>231</v>
      </c>
      <c r="B59">
        <v>20242025</v>
      </c>
      <c r="C59" t="s">
        <v>95</v>
      </c>
      <c r="D59" t="s">
        <v>7</v>
      </c>
      <c r="E59">
        <v>26</v>
      </c>
      <c r="F59">
        <v>26</v>
      </c>
      <c r="G59">
        <v>8</v>
      </c>
      <c r="H59">
        <v>17</v>
      </c>
      <c r="I59">
        <v>1</v>
      </c>
      <c r="J59">
        <v>681</v>
      </c>
      <c r="K59">
        <v>596</v>
      </c>
      <c r="L59">
        <v>85</v>
      </c>
      <c r="M59">
        <v>0.875</v>
      </c>
      <c r="N59">
        <v>3.49</v>
      </c>
      <c r="O59" t="s">
        <v>232</v>
      </c>
      <c r="P59">
        <v>0</v>
      </c>
      <c r="Q59">
        <v>0</v>
      </c>
      <c r="R59">
        <v>0</v>
      </c>
      <c r="S59">
        <v>0</v>
      </c>
      <c r="T59">
        <v>0</v>
      </c>
      <c r="U59" s="1">
        <f t="shared" si="0"/>
        <v>0.32692307692307693</v>
      </c>
      <c r="X59" s="1"/>
    </row>
  </sheetData>
  <pageMargins left="0.7" right="0.7" top="0.75" bottom="0.75" header="0.3" footer="0.3"/>
  <ignoredErrors>
    <ignoredError sqref="A1:H32 I1:T32 A59:H59 I59:T59 A33:H58 I33:T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D62A-6C1D-DF4F-BF83-792FA8E1FFFB}">
  <dimension ref="A1:W60"/>
  <sheetViews>
    <sheetView tabSelected="1" topLeftCell="B7" workbookViewId="0">
      <selection activeCell="O3" sqref="O3:W23"/>
    </sheetView>
  </sheetViews>
  <sheetFormatPr baseColWidth="10" defaultRowHeight="16" x14ac:dyDescent="0.2"/>
  <cols>
    <col min="1" max="1" width="21" customWidth="1"/>
    <col min="4" max="4" width="15" style="3" bestFit="1" customWidth="1"/>
    <col min="5" max="5" width="11.5" bestFit="1" customWidth="1"/>
  </cols>
  <sheetData>
    <row r="1" spans="1:20" x14ac:dyDescent="0.2">
      <c r="A1" t="s">
        <v>0</v>
      </c>
      <c r="C1" t="s">
        <v>233</v>
      </c>
      <c r="D1" s="3" t="s">
        <v>234</v>
      </c>
      <c r="F1" t="s">
        <v>233</v>
      </c>
      <c r="G1" t="s">
        <v>4</v>
      </c>
      <c r="I1" t="s">
        <v>233</v>
      </c>
      <c r="J1" t="s">
        <v>235</v>
      </c>
    </row>
    <row r="2" spans="1:20" x14ac:dyDescent="0.2">
      <c r="A2" t="s">
        <v>20</v>
      </c>
      <c r="C2" s="1">
        <v>0.66176470588235292</v>
      </c>
      <c r="D2" s="3">
        <v>2500000</v>
      </c>
      <c r="F2" s="1">
        <v>0.66176470588235292</v>
      </c>
      <c r="G2">
        <v>34</v>
      </c>
      <c r="I2" s="1">
        <v>0.66176470588235292</v>
      </c>
      <c r="J2">
        <v>25.78</v>
      </c>
    </row>
    <row r="3" spans="1:20" x14ac:dyDescent="0.2">
      <c r="A3" t="s">
        <v>23</v>
      </c>
      <c r="C3" s="1">
        <v>0.76984126984126988</v>
      </c>
      <c r="D3" s="3">
        <v>8500000</v>
      </c>
      <c r="F3" s="1">
        <v>0.76984126984126988</v>
      </c>
      <c r="G3">
        <v>63</v>
      </c>
      <c r="I3" s="1">
        <v>0.76984126984126988</v>
      </c>
      <c r="J3">
        <v>39.590000000000003</v>
      </c>
      <c r="O3" t="s">
        <v>236</v>
      </c>
    </row>
    <row r="4" spans="1:20" ht="17" thickBot="1" x14ac:dyDescent="0.25">
      <c r="A4" t="s">
        <v>28</v>
      </c>
      <c r="C4" s="1">
        <v>0.69</v>
      </c>
      <c r="D4" s="3">
        <v>5250000</v>
      </c>
      <c r="F4" s="1">
        <v>0.69</v>
      </c>
      <c r="G4">
        <v>50</v>
      </c>
      <c r="I4" s="1">
        <v>0.69</v>
      </c>
      <c r="J4">
        <v>22.51</v>
      </c>
    </row>
    <row r="5" spans="1:20" x14ac:dyDescent="0.2">
      <c r="A5" t="s">
        <v>33</v>
      </c>
      <c r="C5" s="1">
        <v>0.6428571428571429</v>
      </c>
      <c r="D5" s="3">
        <v>9500000</v>
      </c>
      <c r="F5" s="1">
        <v>0.6428571428571429</v>
      </c>
      <c r="G5">
        <v>63</v>
      </c>
      <c r="I5" s="1">
        <v>0.6428571428571429</v>
      </c>
      <c r="J5">
        <v>29.16</v>
      </c>
      <c r="O5" s="7" t="s">
        <v>237</v>
      </c>
      <c r="P5" s="7"/>
    </row>
    <row r="6" spans="1:20" x14ac:dyDescent="0.2">
      <c r="A6" t="s">
        <v>38</v>
      </c>
      <c r="C6" s="1">
        <v>0.55555555555555558</v>
      </c>
      <c r="D6" s="3">
        <v>1000000</v>
      </c>
      <c r="F6" s="1">
        <v>0.55555555555555558</v>
      </c>
      <c r="G6">
        <v>27</v>
      </c>
      <c r="I6" s="1">
        <v>0.55555555555555558</v>
      </c>
      <c r="J6">
        <v>15.86</v>
      </c>
      <c r="O6" s="4" t="s">
        <v>238</v>
      </c>
      <c r="P6" s="4">
        <v>0.36258366739720782</v>
      </c>
    </row>
    <row r="7" spans="1:20" x14ac:dyDescent="0.2">
      <c r="A7" t="s">
        <v>41</v>
      </c>
      <c r="C7" s="1">
        <v>0.47499999999999998</v>
      </c>
      <c r="D7" s="3">
        <v>825000</v>
      </c>
      <c r="F7" s="1">
        <v>0.47499999999999998</v>
      </c>
      <c r="G7">
        <v>20</v>
      </c>
      <c r="I7" s="1">
        <v>0.47499999999999998</v>
      </c>
      <c r="J7">
        <v>2.4700000000000002</v>
      </c>
      <c r="O7" s="4" t="s">
        <v>239</v>
      </c>
      <c r="P7" s="4">
        <v>0.13146691586320902</v>
      </c>
    </row>
    <row r="8" spans="1:20" x14ac:dyDescent="0.2">
      <c r="A8" t="s">
        <v>43</v>
      </c>
      <c r="C8" s="1">
        <v>0.58620689655172409</v>
      </c>
      <c r="D8" s="3">
        <v>3750000</v>
      </c>
      <c r="F8" s="1">
        <v>0.58620689655172409</v>
      </c>
      <c r="G8">
        <v>58</v>
      </c>
      <c r="I8" s="1">
        <v>0.58620689655172409</v>
      </c>
      <c r="J8">
        <v>15.32</v>
      </c>
      <c r="O8" s="4" t="s">
        <v>240</v>
      </c>
      <c r="P8" s="4">
        <v>0.11595739650362347</v>
      </c>
    </row>
    <row r="9" spans="1:20" x14ac:dyDescent="0.2">
      <c r="A9" t="s">
        <v>48</v>
      </c>
      <c r="C9" s="1">
        <v>0.41379310344827586</v>
      </c>
      <c r="D9" s="3">
        <v>6400000</v>
      </c>
      <c r="F9" s="1">
        <v>0.41379310344827586</v>
      </c>
      <c r="G9">
        <v>29</v>
      </c>
      <c r="I9" s="1">
        <v>0.41379310344827586</v>
      </c>
      <c r="J9">
        <v>13.32</v>
      </c>
      <c r="O9" s="4" t="s">
        <v>241</v>
      </c>
      <c r="P9" s="4">
        <v>9.579328345562331E-2</v>
      </c>
    </row>
    <row r="10" spans="1:20" ht="17" thickBot="1" x14ac:dyDescent="0.25">
      <c r="A10" t="s">
        <v>51</v>
      </c>
      <c r="C10" s="1">
        <v>0.5535714285714286</v>
      </c>
      <c r="D10" s="3">
        <v>2350000</v>
      </c>
      <c r="F10" s="1">
        <v>0.5535714285714286</v>
      </c>
      <c r="G10">
        <v>56</v>
      </c>
      <c r="I10" s="1">
        <v>0.5535714285714286</v>
      </c>
      <c r="J10">
        <v>15.34</v>
      </c>
      <c r="O10" s="5" t="s">
        <v>242</v>
      </c>
      <c r="P10" s="5">
        <v>58</v>
      </c>
    </row>
    <row r="11" spans="1:20" x14ac:dyDescent="0.2">
      <c r="A11" t="s">
        <v>56</v>
      </c>
      <c r="C11" s="1">
        <v>0.79069767441860461</v>
      </c>
      <c r="D11" s="3">
        <v>766667</v>
      </c>
      <c r="F11" s="1">
        <v>0.79069767441860461</v>
      </c>
      <c r="G11">
        <v>43</v>
      </c>
      <c r="I11" s="1">
        <v>0.79069767441860461</v>
      </c>
      <c r="J11">
        <v>25.96</v>
      </c>
    </row>
    <row r="12" spans="1:20" ht="17" thickBot="1" x14ac:dyDescent="0.25">
      <c r="A12" t="s">
        <v>62</v>
      </c>
      <c r="C12" s="1">
        <v>0.60227272727272729</v>
      </c>
      <c r="D12" s="3">
        <v>5000000</v>
      </c>
      <c r="F12" s="1">
        <v>0.60227272727272729</v>
      </c>
      <c r="G12">
        <v>44</v>
      </c>
      <c r="I12" s="1">
        <v>0.60227272727272729</v>
      </c>
      <c r="J12">
        <v>13.84</v>
      </c>
      <c r="O12" t="s">
        <v>243</v>
      </c>
    </row>
    <row r="13" spans="1:20" x14ac:dyDescent="0.2">
      <c r="A13" t="s">
        <v>67</v>
      </c>
      <c r="C13" s="1">
        <v>0.62264150943396224</v>
      </c>
      <c r="D13" s="3">
        <v>850000</v>
      </c>
      <c r="F13" s="1">
        <v>0.62264150943396224</v>
      </c>
      <c r="G13">
        <v>53</v>
      </c>
      <c r="I13" s="1">
        <v>0.62264150943396224</v>
      </c>
      <c r="J13">
        <v>11.93</v>
      </c>
      <c r="O13" s="6"/>
      <c r="P13" s="6" t="s">
        <v>248</v>
      </c>
      <c r="Q13" s="6" t="s">
        <v>249</v>
      </c>
      <c r="R13" s="6" t="s">
        <v>250</v>
      </c>
      <c r="S13" s="6" t="s">
        <v>251</v>
      </c>
      <c r="T13" s="6" t="s">
        <v>252</v>
      </c>
    </row>
    <row r="14" spans="1:20" x14ac:dyDescent="0.2">
      <c r="A14" t="s">
        <v>71</v>
      </c>
      <c r="C14" s="1">
        <v>0.65517241379310343</v>
      </c>
      <c r="D14" s="3">
        <v>4000000</v>
      </c>
      <c r="F14" s="1">
        <v>0.65517241379310343</v>
      </c>
      <c r="G14">
        <v>58</v>
      </c>
      <c r="I14" s="1">
        <v>0.65517241379310343</v>
      </c>
      <c r="J14">
        <v>10.65</v>
      </c>
      <c r="O14" s="4" t="s">
        <v>244</v>
      </c>
      <c r="P14" s="4">
        <v>1</v>
      </c>
      <c r="Q14" s="4">
        <v>7.7783638565266489E-2</v>
      </c>
      <c r="R14" s="4">
        <v>7.7783638565266489E-2</v>
      </c>
      <c r="S14" s="4">
        <v>8.4765306271052658</v>
      </c>
      <c r="T14" s="4">
        <v>5.1561310927374969E-3</v>
      </c>
    </row>
    <row r="15" spans="1:20" x14ac:dyDescent="0.2">
      <c r="A15" t="s">
        <v>75</v>
      </c>
      <c r="C15" s="1">
        <v>0.65476190476190477</v>
      </c>
      <c r="D15" s="3">
        <v>766667</v>
      </c>
      <c r="F15" s="1">
        <v>0.65476190476190477</v>
      </c>
      <c r="G15">
        <v>42</v>
      </c>
      <c r="I15" s="1">
        <v>0.65476190476190477</v>
      </c>
      <c r="J15">
        <v>16.850000000000001</v>
      </c>
      <c r="O15" s="4" t="s">
        <v>245</v>
      </c>
      <c r="P15" s="4">
        <v>56</v>
      </c>
      <c r="Q15" s="4">
        <v>0.51387577669172613</v>
      </c>
      <c r="R15" s="4">
        <v>9.1763531552093956E-3</v>
      </c>
      <c r="S15" s="4"/>
      <c r="T15" s="4"/>
    </row>
    <row r="16" spans="1:20" ht="17" thickBot="1" x14ac:dyDescent="0.25">
      <c r="A16" t="s">
        <v>79</v>
      </c>
      <c r="C16" s="1">
        <v>0.43548387096774194</v>
      </c>
      <c r="D16" s="3">
        <v>3850000</v>
      </c>
      <c r="F16" s="1">
        <v>0.43548387096774194</v>
      </c>
      <c r="G16">
        <v>31</v>
      </c>
      <c r="I16" s="1">
        <v>0.43548387096774194</v>
      </c>
      <c r="J16">
        <v>18.420000000000002</v>
      </c>
      <c r="O16" s="5" t="s">
        <v>246</v>
      </c>
      <c r="P16" s="5">
        <v>57</v>
      </c>
      <c r="Q16" s="5">
        <v>0.59165941525699262</v>
      </c>
      <c r="R16" s="5"/>
      <c r="S16" s="5"/>
      <c r="T16" s="5"/>
    </row>
    <row r="17" spans="1:23" ht="17" thickBot="1" x14ac:dyDescent="0.25">
      <c r="A17" t="s">
        <v>99</v>
      </c>
      <c r="C17" s="1">
        <v>0.625</v>
      </c>
      <c r="D17" s="3">
        <v>1500000</v>
      </c>
      <c r="F17" s="1">
        <v>0.625</v>
      </c>
      <c r="G17">
        <v>24</v>
      </c>
      <c r="I17" s="1">
        <v>0.625</v>
      </c>
      <c r="J17">
        <v>3.17</v>
      </c>
    </row>
    <row r="18" spans="1:23" x14ac:dyDescent="0.2">
      <c r="A18" t="s">
        <v>85</v>
      </c>
      <c r="C18" s="1">
        <v>0.54098360655737709</v>
      </c>
      <c r="D18" s="3">
        <v>10000000</v>
      </c>
      <c r="F18" s="1">
        <v>0.54098360655737709</v>
      </c>
      <c r="G18">
        <v>61</v>
      </c>
      <c r="I18" s="1">
        <v>0.54098360655737709</v>
      </c>
      <c r="J18">
        <v>7.24</v>
      </c>
      <c r="O18" s="6"/>
      <c r="P18" s="6" t="s">
        <v>253</v>
      </c>
      <c r="Q18" s="6" t="s">
        <v>241</v>
      </c>
      <c r="R18" s="6" t="s">
        <v>254</v>
      </c>
      <c r="S18" s="6" t="s">
        <v>255</v>
      </c>
      <c r="T18" s="6" t="s">
        <v>256</v>
      </c>
      <c r="U18" s="6" t="s">
        <v>257</v>
      </c>
      <c r="V18" s="6" t="s">
        <v>258</v>
      </c>
      <c r="W18" s="6" t="s">
        <v>259</v>
      </c>
    </row>
    <row r="19" spans="1:23" x14ac:dyDescent="0.2">
      <c r="A19" t="s">
        <v>90</v>
      </c>
      <c r="C19" s="1">
        <v>0.69</v>
      </c>
      <c r="D19" s="3">
        <v>4900000</v>
      </c>
      <c r="E19" s="3"/>
      <c r="F19" s="1">
        <v>0.69</v>
      </c>
      <c r="G19">
        <v>50</v>
      </c>
      <c r="I19" s="1">
        <v>0.69</v>
      </c>
      <c r="J19">
        <v>19.05</v>
      </c>
      <c r="O19" s="4" t="s">
        <v>247</v>
      </c>
      <c r="P19" s="4">
        <v>0.41871160694567489</v>
      </c>
      <c r="Q19" s="4">
        <v>4.0442343226251565E-2</v>
      </c>
      <c r="R19" s="4">
        <v>10.35329739929324</v>
      </c>
      <c r="S19" s="4">
        <v>1.2797767718928515E-14</v>
      </c>
      <c r="T19" s="4">
        <v>0.33769585822922632</v>
      </c>
      <c r="U19" s="4">
        <v>0.49972735566212345</v>
      </c>
      <c r="V19" s="4">
        <v>0.33769585822922632</v>
      </c>
      <c r="W19" s="4">
        <v>0.49972735566212345</v>
      </c>
    </row>
    <row r="20" spans="1:23" ht="17" thickBot="1" x14ac:dyDescent="0.25">
      <c r="A20" t="s">
        <v>94</v>
      </c>
      <c r="C20" s="1">
        <v>0.51754385964912286</v>
      </c>
      <c r="D20" s="3">
        <v>1200000</v>
      </c>
      <c r="F20" s="1">
        <v>0.51754385964912286</v>
      </c>
      <c r="G20">
        <v>57</v>
      </c>
      <c r="I20" s="1">
        <v>0.51754385964912286</v>
      </c>
      <c r="J20">
        <v>14.53</v>
      </c>
      <c r="O20" s="5" t="s">
        <v>4</v>
      </c>
      <c r="P20" s="5">
        <v>2.697653070597183E-3</v>
      </c>
      <c r="Q20" s="5">
        <v>9.2656742773948868E-4</v>
      </c>
      <c r="R20" s="5">
        <v>2.9114482009998395</v>
      </c>
      <c r="S20" s="5">
        <v>5.1561310927376557E-3</v>
      </c>
      <c r="T20" s="5">
        <v>8.4151547059130533E-4</v>
      </c>
      <c r="U20" s="5">
        <v>4.5537906706030603E-3</v>
      </c>
      <c r="V20" s="5">
        <v>8.4151547059130533E-4</v>
      </c>
      <c r="W20" s="5">
        <v>4.5537906706030603E-3</v>
      </c>
    </row>
    <row r="21" spans="1:23" x14ac:dyDescent="0.2">
      <c r="A21" t="s">
        <v>85</v>
      </c>
      <c r="C21" s="1">
        <v>0.62962962962962965</v>
      </c>
      <c r="D21" s="3">
        <v>8250000</v>
      </c>
      <c r="F21" s="1">
        <v>0.62962962962962965</v>
      </c>
      <c r="G21">
        <v>54</v>
      </c>
      <c r="I21" s="1">
        <v>0.62962962962962965</v>
      </c>
      <c r="J21">
        <v>17.54</v>
      </c>
    </row>
    <row r="22" spans="1:23" x14ac:dyDescent="0.2">
      <c r="A22" t="s">
        <v>104</v>
      </c>
      <c r="C22" s="1">
        <v>0.48360655737704916</v>
      </c>
      <c r="D22" s="3">
        <v>5666667</v>
      </c>
      <c r="F22" s="1">
        <v>0.48360655737704916</v>
      </c>
      <c r="G22">
        <v>61</v>
      </c>
      <c r="I22" s="1">
        <v>0.48360655737704916</v>
      </c>
      <c r="J22">
        <v>21.56</v>
      </c>
    </row>
    <row r="23" spans="1:23" x14ac:dyDescent="0.2">
      <c r="A23" t="s">
        <v>109</v>
      </c>
      <c r="C23" s="1">
        <v>0.51724137931034486</v>
      </c>
      <c r="D23" s="3">
        <v>2725000</v>
      </c>
      <c r="F23" s="1">
        <v>0.51724137931034486</v>
      </c>
      <c r="G23">
        <v>58</v>
      </c>
      <c r="I23" s="1">
        <v>0.51724137931034486</v>
      </c>
      <c r="J23">
        <v>-4.34</v>
      </c>
    </row>
    <row r="24" spans="1:23" x14ac:dyDescent="0.2">
      <c r="A24" t="s">
        <v>114</v>
      </c>
      <c r="C24" s="1">
        <v>0.56451612903225812</v>
      </c>
      <c r="D24" s="3">
        <v>775000</v>
      </c>
      <c r="E24" s="3"/>
      <c r="F24" s="1">
        <v>0.56451612903225812</v>
      </c>
      <c r="G24">
        <v>31</v>
      </c>
      <c r="I24" s="1">
        <v>0.56451612903225812</v>
      </c>
      <c r="J24">
        <v>14.18</v>
      </c>
    </row>
    <row r="25" spans="1:23" x14ac:dyDescent="0.2">
      <c r="A25" t="s">
        <v>117</v>
      </c>
      <c r="C25" s="1">
        <v>0.49074074074074076</v>
      </c>
      <c r="D25" s="3">
        <v>812500</v>
      </c>
      <c r="F25" s="1">
        <v>0.49074074074074076</v>
      </c>
      <c r="G25">
        <v>54</v>
      </c>
      <c r="I25" s="1">
        <v>0.49074074074074076</v>
      </c>
      <c r="J25">
        <v>14.35</v>
      </c>
    </row>
    <row r="26" spans="1:23" x14ac:dyDescent="0.2">
      <c r="A26" t="s">
        <v>121</v>
      </c>
      <c r="C26" s="1">
        <v>0.48684210526315791</v>
      </c>
      <c r="D26" s="3">
        <v>4500000</v>
      </c>
      <c r="F26" s="1">
        <v>0.48684210526315791</v>
      </c>
      <c r="G26">
        <v>38</v>
      </c>
      <c r="I26" s="1">
        <v>0.48684210526315791</v>
      </c>
      <c r="J26">
        <v>6.9</v>
      </c>
    </row>
    <row r="27" spans="1:23" x14ac:dyDescent="0.2">
      <c r="A27" t="s">
        <v>125</v>
      </c>
      <c r="C27" s="1">
        <v>0.58823529411764708</v>
      </c>
      <c r="D27" s="3">
        <v>875000</v>
      </c>
      <c r="F27" s="1">
        <v>0.58823529411764708</v>
      </c>
      <c r="G27">
        <v>51</v>
      </c>
      <c r="I27" s="1">
        <v>0.58823529411764708</v>
      </c>
      <c r="J27">
        <v>0.09</v>
      </c>
    </row>
    <row r="28" spans="1:23" x14ac:dyDescent="0.2">
      <c r="A28" t="s">
        <v>130</v>
      </c>
      <c r="C28" s="1">
        <v>0.55645161290322576</v>
      </c>
      <c r="D28" s="3">
        <v>3150000</v>
      </c>
      <c r="F28" s="1">
        <v>0.55645161290322576</v>
      </c>
      <c r="G28">
        <v>62</v>
      </c>
      <c r="I28" s="1">
        <v>0.55645161290322576</v>
      </c>
      <c r="J28">
        <v>24.59</v>
      </c>
    </row>
    <row r="29" spans="1:23" x14ac:dyDescent="0.2">
      <c r="A29" t="s">
        <v>135</v>
      </c>
      <c r="C29" s="1">
        <v>0.5</v>
      </c>
      <c r="D29" s="3">
        <v>2500000</v>
      </c>
      <c r="F29" s="1">
        <v>0.5</v>
      </c>
      <c r="G29">
        <v>47</v>
      </c>
      <c r="I29" s="1">
        <v>0.5</v>
      </c>
      <c r="J29">
        <v>2.23</v>
      </c>
    </row>
    <row r="30" spans="1:23" x14ac:dyDescent="0.2">
      <c r="A30" t="s">
        <v>140</v>
      </c>
      <c r="C30" s="1">
        <v>0.41666666666666669</v>
      </c>
      <c r="D30" s="3">
        <v>2750000</v>
      </c>
      <c r="E30" s="3"/>
      <c r="F30" s="1">
        <v>0.41666666666666669</v>
      </c>
      <c r="G30">
        <v>30</v>
      </c>
      <c r="I30" s="1">
        <v>0.41666666666666669</v>
      </c>
      <c r="J30">
        <v>12.8</v>
      </c>
    </row>
    <row r="31" spans="1:23" x14ac:dyDescent="0.2">
      <c r="A31" t="s">
        <v>142</v>
      </c>
      <c r="C31" s="1">
        <v>0.5446428571428571</v>
      </c>
      <c r="D31" s="3">
        <v>6000000</v>
      </c>
      <c r="F31" s="1">
        <v>0.5446428571428571</v>
      </c>
      <c r="G31">
        <v>56</v>
      </c>
      <c r="I31" s="1">
        <v>0.5446428571428571</v>
      </c>
      <c r="J31">
        <v>5.25</v>
      </c>
    </row>
    <row r="32" spans="1:23" x14ac:dyDescent="0.2">
      <c r="A32" t="s">
        <v>146</v>
      </c>
      <c r="C32" s="1">
        <v>0.59183673469387754</v>
      </c>
      <c r="D32" s="3">
        <v>6000000</v>
      </c>
      <c r="F32" s="1">
        <v>0.59183673469387754</v>
      </c>
      <c r="G32">
        <v>49</v>
      </c>
      <c r="I32" s="1">
        <v>0.59183673469387754</v>
      </c>
      <c r="J32">
        <v>3.43</v>
      </c>
    </row>
    <row r="33" spans="1:10" x14ac:dyDescent="0.2">
      <c r="A33" t="s">
        <v>151</v>
      </c>
      <c r="C33" s="1">
        <v>0.61363636363636365</v>
      </c>
      <c r="D33" s="3">
        <v>3400000</v>
      </c>
      <c r="F33" s="1">
        <v>0.61363636363636365</v>
      </c>
      <c r="G33">
        <v>22</v>
      </c>
      <c r="I33" s="1">
        <v>0.61363636363636365</v>
      </c>
      <c r="J33">
        <v>8.9499999999999993</v>
      </c>
    </row>
    <row r="34" spans="1:10" x14ac:dyDescent="0.2">
      <c r="A34" t="s">
        <v>154</v>
      </c>
      <c r="C34" s="1">
        <v>0.55769230769230771</v>
      </c>
      <c r="D34" s="3">
        <v>2500000</v>
      </c>
      <c r="F34" s="1">
        <v>0.55769230769230771</v>
      </c>
      <c r="G34">
        <v>26</v>
      </c>
      <c r="I34" s="1">
        <v>0.55769230769230771</v>
      </c>
      <c r="J34">
        <v>-8.08</v>
      </c>
    </row>
    <row r="35" spans="1:10" x14ac:dyDescent="0.2">
      <c r="A35" t="s">
        <v>156</v>
      </c>
      <c r="C35" s="1">
        <v>0.375</v>
      </c>
      <c r="D35" s="3">
        <v>962500</v>
      </c>
      <c r="F35" s="1">
        <v>0.375</v>
      </c>
      <c r="G35">
        <v>36</v>
      </c>
      <c r="I35" s="1">
        <v>0.375</v>
      </c>
      <c r="J35">
        <v>5.99</v>
      </c>
    </row>
    <row r="36" spans="1:10" x14ac:dyDescent="0.2">
      <c r="A36" t="s">
        <v>160</v>
      </c>
      <c r="C36" s="1">
        <v>0.6063829787234043</v>
      </c>
      <c r="D36" s="3">
        <v>2000000</v>
      </c>
      <c r="F36" s="1">
        <v>0.6063829787234043</v>
      </c>
      <c r="G36">
        <v>47</v>
      </c>
      <c r="I36" s="1">
        <v>0.6063829787234043</v>
      </c>
      <c r="J36">
        <v>0.96</v>
      </c>
    </row>
    <row r="37" spans="1:10" x14ac:dyDescent="0.2">
      <c r="A37" t="s">
        <v>163</v>
      </c>
      <c r="C37" s="1">
        <v>0.5</v>
      </c>
      <c r="D37" s="3">
        <v>2200000</v>
      </c>
      <c r="F37" s="1">
        <v>0.5</v>
      </c>
      <c r="G37">
        <v>30</v>
      </c>
      <c r="I37" s="1">
        <v>0.5</v>
      </c>
      <c r="J37">
        <v>0.91</v>
      </c>
    </row>
    <row r="38" spans="1:10" x14ac:dyDescent="0.2">
      <c r="A38" t="s">
        <v>165</v>
      </c>
      <c r="C38" s="1">
        <v>0.45833333333333331</v>
      </c>
      <c r="D38" s="3">
        <v>1100000</v>
      </c>
      <c r="F38" s="1">
        <v>0.45833333333333331</v>
      </c>
      <c r="G38">
        <v>24</v>
      </c>
      <c r="I38" s="1">
        <v>0.45833333333333331</v>
      </c>
      <c r="J38">
        <v>8.01</v>
      </c>
    </row>
    <row r="39" spans="1:10" x14ac:dyDescent="0.2">
      <c r="A39" t="s">
        <v>168</v>
      </c>
      <c r="C39" s="1">
        <v>0.48333333333333334</v>
      </c>
      <c r="D39" s="3">
        <v>900000</v>
      </c>
      <c r="F39" s="1">
        <v>0.48333333333333334</v>
      </c>
      <c r="G39">
        <v>30</v>
      </c>
      <c r="I39" s="1">
        <v>0.48333333333333334</v>
      </c>
      <c r="J39">
        <v>-0.97</v>
      </c>
    </row>
    <row r="40" spans="1:10" x14ac:dyDescent="0.2">
      <c r="A40" t="s">
        <v>170</v>
      </c>
      <c r="C40" s="1">
        <v>0.55128205128205132</v>
      </c>
      <c r="D40" s="3">
        <v>1100000</v>
      </c>
      <c r="F40" s="1">
        <v>0.55128205128205132</v>
      </c>
      <c r="G40">
        <v>39</v>
      </c>
      <c r="I40" s="1">
        <v>0.55128205128205132</v>
      </c>
      <c r="J40">
        <v>2.37</v>
      </c>
    </row>
    <row r="41" spans="1:10" x14ac:dyDescent="0.2">
      <c r="A41" t="s">
        <v>172</v>
      </c>
      <c r="C41" s="1">
        <v>0.5490196078431373</v>
      </c>
      <c r="D41" s="3">
        <v>2600000</v>
      </c>
      <c r="F41" s="1">
        <v>0.5490196078431373</v>
      </c>
      <c r="G41">
        <v>51</v>
      </c>
      <c r="I41" s="1">
        <v>0.5490196078431373</v>
      </c>
      <c r="J41">
        <v>-7.42</v>
      </c>
    </row>
    <row r="42" spans="1:10" x14ac:dyDescent="0.2">
      <c r="A42" t="s">
        <v>176</v>
      </c>
      <c r="C42" s="1">
        <v>0.39655172413793105</v>
      </c>
      <c r="D42" s="3">
        <v>5000000</v>
      </c>
      <c r="F42" s="1">
        <v>0.39655172413793105</v>
      </c>
      <c r="G42">
        <v>58</v>
      </c>
      <c r="I42" s="1">
        <v>0.39655172413793105</v>
      </c>
      <c r="J42">
        <v>-1.52</v>
      </c>
    </row>
    <row r="43" spans="1:10" x14ac:dyDescent="0.2">
      <c r="A43" t="s">
        <v>181</v>
      </c>
      <c r="C43" s="1">
        <v>0.43421052631578949</v>
      </c>
      <c r="D43" s="3">
        <v>2500000</v>
      </c>
      <c r="F43" s="1">
        <v>0.43421052631578949</v>
      </c>
      <c r="G43">
        <v>38</v>
      </c>
      <c r="I43" s="1">
        <v>0.43421052631578949</v>
      </c>
      <c r="J43">
        <v>-0.98</v>
      </c>
    </row>
    <row r="44" spans="1:10" x14ac:dyDescent="0.2">
      <c r="A44" t="s">
        <v>185</v>
      </c>
      <c r="C44" s="1">
        <v>0.5</v>
      </c>
      <c r="D44" s="3">
        <v>1275000</v>
      </c>
      <c r="F44" s="1">
        <v>0.5</v>
      </c>
      <c r="G44">
        <v>24</v>
      </c>
      <c r="I44" s="1">
        <v>0.5</v>
      </c>
      <c r="J44">
        <v>-4.67</v>
      </c>
    </row>
    <row r="45" spans="1:10" x14ac:dyDescent="0.2">
      <c r="A45" t="s">
        <v>187</v>
      </c>
      <c r="C45" s="1">
        <v>0.46296296296296297</v>
      </c>
      <c r="D45" s="3">
        <v>4000000</v>
      </c>
      <c r="F45" s="1">
        <v>0.46296296296296297</v>
      </c>
      <c r="G45">
        <v>27</v>
      </c>
      <c r="I45" s="1">
        <v>0.46296296296296297</v>
      </c>
      <c r="J45">
        <v>-1.65</v>
      </c>
    </row>
    <row r="46" spans="1:10" x14ac:dyDescent="0.2">
      <c r="A46" t="s">
        <v>190</v>
      </c>
      <c r="C46" s="1">
        <v>0.52777777777777779</v>
      </c>
      <c r="D46" s="3">
        <v>5400000</v>
      </c>
      <c r="F46" s="1">
        <v>0.52777777777777779</v>
      </c>
      <c r="G46">
        <v>36</v>
      </c>
      <c r="I46" s="1">
        <v>0.52777777777777779</v>
      </c>
      <c r="J46">
        <v>-5.38</v>
      </c>
    </row>
    <row r="47" spans="1:10" x14ac:dyDescent="0.2">
      <c r="A47" t="s">
        <v>192</v>
      </c>
      <c r="C47" s="1">
        <v>0.43965517241379309</v>
      </c>
      <c r="D47" s="3">
        <v>8250000</v>
      </c>
      <c r="F47" s="1">
        <v>0.43965517241379309</v>
      </c>
      <c r="G47">
        <v>58</v>
      </c>
      <c r="I47" s="1">
        <v>0.43965517241379309</v>
      </c>
      <c r="J47">
        <v>-8.17</v>
      </c>
    </row>
    <row r="48" spans="1:10" x14ac:dyDescent="0.2">
      <c r="A48" t="s">
        <v>196</v>
      </c>
      <c r="C48" s="1">
        <v>0.53773584905660377</v>
      </c>
      <c r="D48" s="3">
        <v>5400000</v>
      </c>
      <c r="F48" s="1">
        <v>0.53773584905660377</v>
      </c>
      <c r="G48">
        <v>53</v>
      </c>
      <c r="I48" s="1">
        <v>0.53773584905660377</v>
      </c>
      <c r="J48">
        <v>-9.1</v>
      </c>
    </row>
    <row r="49" spans="1:10" x14ac:dyDescent="0.2">
      <c r="A49" t="s">
        <v>201</v>
      </c>
      <c r="C49" s="1">
        <v>0.34210526315789475</v>
      </c>
      <c r="D49" s="3">
        <v>4250000</v>
      </c>
      <c r="F49" s="1">
        <v>0.34210526315789475</v>
      </c>
      <c r="G49">
        <v>38</v>
      </c>
      <c r="I49" s="1">
        <v>0.34210526315789475</v>
      </c>
      <c r="J49">
        <v>-13.97</v>
      </c>
    </row>
    <row r="50" spans="1:10" x14ac:dyDescent="0.2">
      <c r="A50" t="s">
        <v>205</v>
      </c>
      <c r="C50" s="1">
        <v>0.62068965517241381</v>
      </c>
      <c r="D50" s="3">
        <v>1800000</v>
      </c>
      <c r="F50" s="1">
        <v>0.62068965517241381</v>
      </c>
      <c r="G50">
        <v>29</v>
      </c>
      <c r="I50" s="1">
        <v>0.62068965517241381</v>
      </c>
      <c r="J50">
        <v>0.61</v>
      </c>
    </row>
    <row r="51" spans="1:10" x14ac:dyDescent="0.2">
      <c r="A51" t="s">
        <v>207</v>
      </c>
      <c r="C51" s="1">
        <v>0.5</v>
      </c>
      <c r="D51" s="3">
        <v>5000000</v>
      </c>
      <c r="F51" s="1">
        <v>0.5</v>
      </c>
      <c r="G51">
        <v>23</v>
      </c>
      <c r="I51" s="1">
        <v>0.5</v>
      </c>
      <c r="J51">
        <v>1.44</v>
      </c>
    </row>
    <row r="52" spans="1:10" x14ac:dyDescent="0.2">
      <c r="A52" t="s">
        <v>209</v>
      </c>
      <c r="C52" s="1">
        <v>0.5</v>
      </c>
      <c r="D52" s="3">
        <v>1000000</v>
      </c>
      <c r="F52" s="1">
        <v>0.5</v>
      </c>
      <c r="G52">
        <v>34</v>
      </c>
      <c r="I52" s="1">
        <v>0.5</v>
      </c>
      <c r="J52">
        <v>-8.58</v>
      </c>
    </row>
    <row r="53" spans="1:10" x14ac:dyDescent="0.2">
      <c r="A53" t="s">
        <v>211</v>
      </c>
      <c r="C53" s="1">
        <v>0.48181818181818181</v>
      </c>
      <c r="D53" s="3">
        <v>4750000</v>
      </c>
      <c r="F53" s="1">
        <v>0.48181818181818181</v>
      </c>
      <c r="G53">
        <v>55</v>
      </c>
      <c r="I53" s="1">
        <v>0.48181818181818181</v>
      </c>
      <c r="J53">
        <v>-11.38</v>
      </c>
    </row>
    <row r="54" spans="1:10" x14ac:dyDescent="0.2">
      <c r="A54" t="s">
        <v>216</v>
      </c>
      <c r="C54" s="1">
        <v>0.28000000000000003</v>
      </c>
      <c r="D54" s="3">
        <v>3400000</v>
      </c>
      <c r="F54" s="1">
        <v>0.28000000000000003</v>
      </c>
      <c r="G54">
        <v>25</v>
      </c>
      <c r="I54" s="1">
        <v>0.28000000000000003</v>
      </c>
      <c r="J54">
        <v>-8.5299999999999994</v>
      </c>
    </row>
    <row r="55" spans="1:10" x14ac:dyDescent="0.2">
      <c r="A55" t="s">
        <v>219</v>
      </c>
      <c r="C55" s="1">
        <v>0.45588235294117646</v>
      </c>
      <c r="D55" s="3">
        <v>837500</v>
      </c>
      <c r="F55" s="1">
        <v>0.45588235294117646</v>
      </c>
      <c r="G55">
        <v>34</v>
      </c>
      <c r="I55" s="1">
        <v>0.45588235294117646</v>
      </c>
      <c r="J55">
        <v>-9.1</v>
      </c>
    </row>
    <row r="56" spans="1:10" x14ac:dyDescent="0.2">
      <c r="A56" t="s">
        <v>222</v>
      </c>
      <c r="C56" s="1">
        <v>0.52127659574468088</v>
      </c>
      <c r="D56" s="3">
        <v>1450000</v>
      </c>
      <c r="F56" s="1">
        <v>0.52127659574468088</v>
      </c>
      <c r="G56">
        <v>47</v>
      </c>
      <c r="I56" s="1">
        <v>0.52127659574468088</v>
      </c>
      <c r="J56">
        <v>-19.88</v>
      </c>
    </row>
    <row r="57" spans="1:10" x14ac:dyDescent="0.2">
      <c r="A57" t="s">
        <v>227</v>
      </c>
      <c r="C57" s="1">
        <v>0.5</v>
      </c>
      <c r="D57" s="3">
        <v>1950000</v>
      </c>
      <c r="F57" s="1">
        <v>0.5</v>
      </c>
      <c r="G57">
        <v>22</v>
      </c>
      <c r="I57" s="1">
        <v>0.5</v>
      </c>
      <c r="J57">
        <v>-11.64</v>
      </c>
    </row>
    <row r="58" spans="1:10" x14ac:dyDescent="0.2">
      <c r="A58" t="s">
        <v>229</v>
      </c>
      <c r="C58" s="1">
        <v>0.4</v>
      </c>
      <c r="D58" s="3">
        <v>1050000</v>
      </c>
      <c r="F58" s="1">
        <v>0.4</v>
      </c>
      <c r="G58">
        <v>20</v>
      </c>
      <c r="I58" s="1">
        <v>0.4</v>
      </c>
      <c r="J58">
        <v>-4.3600000000000003</v>
      </c>
    </row>
    <row r="59" spans="1:10" x14ac:dyDescent="0.2">
      <c r="A59" t="s">
        <v>231</v>
      </c>
      <c r="C59" s="1">
        <v>0.32692307692307693</v>
      </c>
      <c r="D59" s="2">
        <v>5900000</v>
      </c>
      <c r="F59" s="1">
        <v>0.32692307692307693</v>
      </c>
      <c r="G59">
        <v>26</v>
      </c>
      <c r="I59" s="1">
        <v>0.32692307692307693</v>
      </c>
      <c r="J59">
        <v>-16.3</v>
      </c>
    </row>
    <row r="60" spans="1:10" x14ac:dyDescent="0.2">
      <c r="C60" s="1"/>
      <c r="F60" s="1"/>
      <c r="I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Michaluk (x2022dwy)</cp:lastModifiedBy>
  <dcterms:created xsi:type="dcterms:W3CDTF">2026-03-02T18:54:31Z</dcterms:created>
  <dcterms:modified xsi:type="dcterms:W3CDTF">2026-03-23T19:21:34Z</dcterms:modified>
</cp:coreProperties>
</file>